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https://d.docs.live.net/77ADD81C4C4F9A66/Documents/"/>
    </mc:Choice>
  </mc:AlternateContent>
  <xr:revisionPtr revIDLastSave="202" documentId="8_{CE898379-E334-4051-B4C6-CFFED6E6FE22}" xr6:coauthVersionLast="47" xr6:coauthVersionMax="47" xr10:uidLastSave="{B87B869C-E7D0-4E15-9E8D-F1ACEA62DC10}"/>
  <bookViews>
    <workbookView xWindow="-108" yWindow="-108" windowWidth="23256" windowHeight="12456" activeTab="2" xr2:uid="{3048A1D3-7738-426D-AD0D-1007CF19E0A6}"/>
  </bookViews>
  <sheets>
    <sheet name="Sheet2" sheetId="2" r:id="rId1"/>
    <sheet name="Sheet3" sheetId="9" r:id="rId2"/>
    <sheet name="Sheet1" sheetId="1" r:id="rId3"/>
  </sheets>
  <definedNames>
    <definedName name="_xlnm._FilterDatabase" localSheetId="2" hidden="1">Sheet1!$G$73:$K$93</definedName>
    <definedName name="Slicer_Product">#N/A</definedName>
    <definedName name="Slicer_Product1">#N/A</definedName>
  </definedNames>
  <calcPr calcId="191029"/>
  <pivotCaches>
    <pivotCache cacheId="0" r:id="rId4"/>
    <pivotCache cacheId="1" r:id="rId5"/>
    <pivotCache cacheId="2" r:id="rId6"/>
    <pivotCache cacheId="3"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01" i="1" l="1"/>
  <c r="I202" i="1"/>
  <c r="I203" i="1"/>
  <c r="I204" i="1"/>
  <c r="I205" i="1"/>
  <c r="I206" i="1"/>
  <c r="I207" i="1"/>
  <c r="I208" i="1"/>
  <c r="I209" i="1"/>
  <c r="I210" i="1"/>
  <c r="I211" i="1"/>
  <c r="I212" i="1"/>
  <c r="I213" i="1"/>
  <c r="I214" i="1"/>
  <c r="I215" i="1"/>
  <c r="I216" i="1"/>
  <c r="I217" i="1"/>
  <c r="I218" i="1"/>
  <c r="I219" i="1"/>
  <c r="I200" i="1"/>
</calcChain>
</file>

<file path=xl/sharedStrings.xml><?xml version="1.0" encoding="utf-8"?>
<sst xmlns="http://schemas.openxmlformats.org/spreadsheetml/2006/main" count="433" uniqueCount="58">
  <si>
    <t>Date</t>
  </si>
  <si>
    <t>Region</t>
  </si>
  <si>
    <t>Product</t>
  </si>
  <si>
    <t>Sales</t>
  </si>
  <si>
    <t>Quantity</t>
  </si>
  <si>
    <t>West</t>
  </si>
  <si>
    <t>Mangoes</t>
  </si>
  <si>
    <t>South</t>
  </si>
  <si>
    <t>Oranges</t>
  </si>
  <si>
    <t>Apples</t>
  </si>
  <si>
    <t>East</t>
  </si>
  <si>
    <t>North</t>
  </si>
  <si>
    <t>Q.1.What is the purpose of a PivotTable in Excel?</t>
  </si>
  <si>
    <t>Answer- Pivot table is very useful tool in excel it:</t>
  </si>
  <si>
    <t>2. It allows to rotate the column and row to view data into different perspectives.</t>
  </si>
  <si>
    <t>3.It allows filtering the data easily.</t>
  </si>
  <si>
    <t>1.It Summarizes the data by condense the data sets into summary.</t>
  </si>
  <si>
    <t>4.It has built in calculations such as sum, average,max min,count without writng formula.</t>
  </si>
  <si>
    <t>5.It create dashboards and report that updates automatically when the data changes from source.</t>
  </si>
  <si>
    <t>6.It also performs trend analysis.</t>
  </si>
  <si>
    <t>Q.2. Create a PivotTable to show Total Sales by Region.</t>
  </si>
  <si>
    <t>Answer-</t>
  </si>
  <si>
    <t>Row Labels</t>
  </si>
  <si>
    <t>Grand Total</t>
  </si>
  <si>
    <t>Sum of Sales</t>
  </si>
  <si>
    <t>Q.3. Apply Conditional Formatting to highlight sales greater than 400.</t>
  </si>
  <si>
    <t>Q.4.Explain the difference between Sorting and Filtering with an example from this dataset.</t>
  </si>
  <si>
    <t>MEDIUM LEVEL</t>
  </si>
  <si>
    <r>
      <rPr>
        <b/>
        <sz val="11"/>
        <color theme="1"/>
        <rFont val="Aptos Narrow"/>
        <family val="2"/>
        <scheme val="minor"/>
      </rPr>
      <t>Filtering</t>
    </r>
    <r>
      <rPr>
        <sz val="11"/>
        <color theme="1"/>
        <rFont val="Aptos Narrow"/>
        <family val="2"/>
        <scheme val="minor"/>
      </rPr>
      <t xml:space="preserve"> is an option that displays only the rows that meets specific criteria.</t>
    </r>
  </si>
  <si>
    <r>
      <rPr>
        <i/>
        <sz val="11"/>
        <color theme="1"/>
        <rFont val="Aptos Narrow"/>
        <family val="2"/>
        <scheme val="minor"/>
      </rPr>
      <t>Answer-</t>
    </r>
    <r>
      <rPr>
        <b/>
        <sz val="11"/>
        <color theme="1"/>
        <rFont val="Aptos Narrow"/>
        <family val="2"/>
        <scheme val="minor"/>
      </rPr>
      <t>Sorting</t>
    </r>
    <r>
      <rPr>
        <sz val="11"/>
        <color theme="1"/>
        <rFont val="Aptos Narrow"/>
        <family val="2"/>
        <scheme val="minor"/>
      </rPr>
      <t xml:space="preserve"> is rearranging the data in specific order for clear view and making patterns easy to see.</t>
    </r>
  </si>
  <si>
    <t>Here, product is sorted in ascending order(A-Z)</t>
  </si>
  <si>
    <t xml:space="preserve">Here I have applied filter in Sales column condition of filter is greater than 300 </t>
  </si>
  <si>
    <t>We can sort data in ascending (A-Z) or descending (Z-A) order .We can also sort data by color.</t>
  </si>
  <si>
    <t>Q.5. Create a PivotChart showing Monthly Sales Trend.</t>
  </si>
  <si>
    <t>EASY LEVEL</t>
  </si>
  <si>
    <t>Jan</t>
  </si>
  <si>
    <t>Feb</t>
  </si>
  <si>
    <t>Mar</t>
  </si>
  <si>
    <t>Apr</t>
  </si>
  <si>
    <t>May</t>
  </si>
  <si>
    <t>Jun</t>
  </si>
  <si>
    <t>Q.6.  Use a Slicer to filter data by Product and observe changes in sales.</t>
  </si>
  <si>
    <t>HARD LEVEL</t>
  </si>
  <si>
    <t xml:space="preserve">here, I have applied filter by product(Apple) in slicer. </t>
  </si>
  <si>
    <t>Q.7. Why are Dashboards important for decision-making in business analysis?</t>
  </si>
  <si>
    <t>Answer- Dashboards are very important for analysing data more clearly and makes decision very faster and smarter. Dashboards present data more clearly</t>
  </si>
  <si>
    <t>through charts ,table and graphs. It saves our time and works very efficiently .It can predict future outcomes of a specific company.</t>
  </si>
  <si>
    <t>Q.8.Create a Dashboard that includes:</t>
  </si>
  <si>
    <t xml:space="preserve">              2. Product Filter (Slicer)</t>
  </si>
  <si>
    <t xml:space="preserve">              3. Monthly Trend (Line Chart)</t>
  </si>
  <si>
    <t xml:space="preserve">              1.Sales by Region (PivotTable + Chart)</t>
  </si>
  <si>
    <t>Q.9. Group dates in the PivotTable into Months and calculate the average sales per month.</t>
  </si>
  <si>
    <t xml:space="preserve">Aswer- </t>
  </si>
  <si>
    <t>Average of Sales</t>
  </si>
  <si>
    <r>
      <t>Q</t>
    </r>
    <r>
      <rPr>
        <b/>
        <sz val="11"/>
        <color theme="1"/>
        <rFont val="Aptos Narrow"/>
        <family val="2"/>
        <scheme val="minor"/>
      </rPr>
      <t xml:space="preserve">.10. Combine Apples and Oranges into one group called Fruits and compare its sales with other products.
 </t>
    </r>
    <r>
      <rPr>
        <sz val="11"/>
        <color theme="1"/>
        <rFont val="Aptos Narrow"/>
        <family val="2"/>
        <scheme val="minor"/>
      </rPr>
      <t xml:space="preserve">
 </t>
    </r>
  </si>
  <si>
    <t>Group</t>
  </si>
  <si>
    <t>Apples+Oranges</t>
  </si>
  <si>
    <t>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</si>
</sst>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1"/>
      <color theme="1"/>
      <name val="Calibri"/>
      <family val="2"/>
    </font>
    <font>
      <sz val="11"/>
      <color theme="1"/>
      <name val="Calibri"/>
      <family val="2"/>
    </font>
    <font>
      <i/>
      <sz val="11"/>
      <color theme="1"/>
      <name val="Aptos Narrow"/>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6" tint="0.79998168889431442"/>
        <bgColor indexed="64"/>
      </patternFill>
    </fill>
    <fill>
      <patternFill patternType="solid">
        <fgColor theme="8"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4">
    <xf numFmtId="0" fontId="0" fillId="0" borderId="0" xfId="0"/>
    <xf numFmtId="0" fontId="2" fillId="0" borderId="1" xfId="0" applyFont="1" applyBorder="1" applyAlignment="1">
      <alignment horizontal="center" vertical="top" wrapText="1"/>
    </xf>
    <xf numFmtId="22" fontId="3" fillId="0" borderId="1" xfId="0" applyNumberFormat="1" applyFont="1" applyBorder="1" applyAlignment="1">
      <alignment horizontal="right" wrapText="1"/>
    </xf>
    <xf numFmtId="0" fontId="3" fillId="0" borderId="1" xfId="0" applyFont="1" applyBorder="1" applyAlignment="1">
      <alignment wrapText="1"/>
    </xf>
    <xf numFmtId="0" fontId="3" fillId="0" borderId="1" xfId="0" applyFont="1" applyBorder="1" applyAlignment="1">
      <alignment horizontal="right" wrapText="1"/>
    </xf>
    <xf numFmtId="0" fontId="0" fillId="0" borderId="0" xfId="0" applyAlignment="1">
      <alignment wrapText="1"/>
    </xf>
    <xf numFmtId="0" fontId="1" fillId="0" borderId="0" xfId="0" applyFont="1"/>
    <xf numFmtId="0" fontId="0" fillId="0" borderId="0" xfId="0" pivotButton="1"/>
    <xf numFmtId="0" fontId="0" fillId="0" borderId="0" xfId="0" applyAlignment="1">
      <alignment horizontal="left"/>
    </xf>
    <xf numFmtId="22" fontId="3" fillId="0" borderId="2" xfId="0" applyNumberFormat="1" applyFont="1" applyBorder="1" applyAlignment="1">
      <alignment horizontal="right" wrapText="1"/>
    </xf>
    <xf numFmtId="0" fontId="3" fillId="0" borderId="3" xfId="0" applyFont="1" applyBorder="1" applyAlignment="1">
      <alignment horizontal="right" wrapText="1"/>
    </xf>
    <xf numFmtId="0" fontId="2" fillId="0" borderId="4" xfId="0" applyFont="1" applyBorder="1" applyAlignment="1">
      <alignment horizontal="center" vertical="top" wrapText="1"/>
    </xf>
    <xf numFmtId="0" fontId="2" fillId="0" borderId="5" xfId="0" applyFont="1" applyBorder="1" applyAlignment="1">
      <alignment horizontal="center" vertical="top" wrapText="1"/>
    </xf>
    <xf numFmtId="0" fontId="2" fillId="0" borderId="6" xfId="0" applyFont="1" applyBorder="1" applyAlignment="1">
      <alignment horizontal="center" vertical="top" wrapText="1"/>
    </xf>
    <xf numFmtId="22" fontId="3" fillId="0" borderId="7" xfId="0" applyNumberFormat="1" applyFont="1" applyBorder="1" applyAlignment="1">
      <alignment horizontal="right" wrapText="1"/>
    </xf>
    <xf numFmtId="0" fontId="3" fillId="0" borderId="8" xfId="0" applyFont="1" applyBorder="1" applyAlignment="1">
      <alignment wrapText="1"/>
    </xf>
    <xf numFmtId="0" fontId="3" fillId="0" borderId="8" xfId="0" applyFont="1" applyBorder="1" applyAlignment="1">
      <alignment horizontal="right" wrapText="1"/>
    </xf>
    <xf numFmtId="0" fontId="3" fillId="0" borderId="9" xfId="0" applyFont="1" applyBorder="1" applyAlignment="1">
      <alignment horizontal="right" wrapText="1"/>
    </xf>
    <xf numFmtId="0" fontId="0" fillId="2" borderId="1" xfId="0" applyFill="1" applyBorder="1"/>
    <xf numFmtId="0" fontId="0" fillId="2" borderId="0" xfId="0" applyFill="1"/>
    <xf numFmtId="0" fontId="0" fillId="2" borderId="1" xfId="0" applyFill="1" applyBorder="1" applyAlignment="1">
      <alignment horizontal="left"/>
    </xf>
    <xf numFmtId="0" fontId="1" fillId="3" borderId="0" xfId="0" applyFont="1" applyFill="1"/>
    <xf numFmtId="0" fontId="2" fillId="4" borderId="1" xfId="0" applyFont="1" applyFill="1" applyBorder="1" applyAlignment="1">
      <alignment horizontal="center" vertical="top" wrapText="1"/>
    </xf>
    <xf numFmtId="0" fontId="1" fillId="4" borderId="1" xfId="0" applyFont="1" applyFill="1" applyBorder="1"/>
    <xf numFmtId="0" fontId="3" fillId="4" borderId="1" xfId="0" applyFont="1" applyFill="1" applyBorder="1" applyAlignment="1">
      <alignment wrapText="1"/>
    </xf>
    <xf numFmtId="0" fontId="3" fillId="4" borderId="1" xfId="0" applyFont="1" applyFill="1" applyBorder="1" applyAlignment="1">
      <alignment horizontal="right" wrapText="1"/>
    </xf>
    <xf numFmtId="0" fontId="0" fillId="4" borderId="1" xfId="0" applyFill="1" applyBorder="1"/>
    <xf numFmtId="0" fontId="0" fillId="0" borderId="0" xfId="0" applyAlignment="1">
      <alignment wrapText="1"/>
    </xf>
    <xf numFmtId="0" fontId="0" fillId="0" borderId="0" xfId="0"/>
    <xf numFmtId="0" fontId="1" fillId="0" borderId="0" xfId="0" applyFont="1"/>
    <xf numFmtId="0" fontId="1" fillId="3" borderId="0" xfId="0" applyFont="1" applyFill="1"/>
    <xf numFmtId="0" fontId="1" fillId="0" borderId="0" xfId="0" applyFont="1" applyAlignment="1">
      <alignment horizontal="center"/>
    </xf>
    <xf numFmtId="0" fontId="1" fillId="0" borderId="0" xfId="0" applyFont="1" applyAlignment="1">
      <alignment wrapText="1"/>
    </xf>
    <xf numFmtId="0" fontId="0" fillId="0" borderId="0" xfId="0" applyAlignment="1">
      <alignment horizontal="center"/>
    </xf>
  </cellXfs>
  <cellStyles count="1">
    <cellStyle name="Normal" xfId="0" builtinId="0"/>
  </cellStyles>
  <dxfs count="52">
    <dxf>
      <font>
        <color rgb="FF9C0006"/>
      </font>
      <fill>
        <patternFill>
          <bgColor rgb="FFFFC7CE"/>
        </patternFill>
      </fill>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27" formatCode="m/d/yyyy\ h:mm"/>
      <alignment horizontal="right"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none"/>
      </font>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27" formatCode="m/d/yyyy\ h:mm"/>
      <alignment horizontal="right"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none"/>
      </font>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27" formatCode="m/d/yyyy\ h:mm"/>
      <alignment horizontal="right"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none"/>
      </font>
      <alignment horizontal="center" vertical="top" textRotation="0" wrapText="1" indent="0" justifyLastLine="0" shrinkToFit="0" readingOrder="0"/>
      <border diagonalUp="0" diagonalDown="0" outline="0">
        <left style="thin">
          <color indexed="64"/>
        </left>
        <right style="thin">
          <color indexed="64"/>
        </right>
        <top/>
        <bottom/>
      </border>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assignment.xlsx]Sheet1!PivotTable4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3333333333333332E-3"/>
          <c:y val="0.22593401552961215"/>
          <c:w val="0.73055555555555551"/>
          <c:h val="0.59478014277341551"/>
        </c:manualLayout>
      </c:layout>
      <c:pie3DChart>
        <c:varyColors val="1"/>
        <c:ser>
          <c:idx val="0"/>
          <c:order val="0"/>
          <c:tx>
            <c:strRef>
              <c:f>Sheet1!$H$98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4FFE-44CD-B690-61C8E624DC8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4FFE-44CD-B690-61C8E624DC8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4FFE-44CD-B690-61C8E624DC8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4FFE-44CD-B690-61C8E624DC8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4FFE-44CD-B690-61C8E624DC8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4FFE-44CD-B690-61C8E624DC8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Sheet1!$G$99:$G$105</c:f>
              <c:strCache>
                <c:ptCount val="6"/>
                <c:pt idx="0">
                  <c:v>Jan</c:v>
                </c:pt>
                <c:pt idx="1">
                  <c:v>Feb</c:v>
                </c:pt>
                <c:pt idx="2">
                  <c:v>Mar</c:v>
                </c:pt>
                <c:pt idx="3">
                  <c:v>Apr</c:v>
                </c:pt>
                <c:pt idx="4">
                  <c:v>May</c:v>
                </c:pt>
                <c:pt idx="5">
                  <c:v>Jun</c:v>
                </c:pt>
              </c:strCache>
            </c:strRef>
          </c:cat>
          <c:val>
            <c:numRef>
              <c:f>Sheet1!$H$99:$H$105</c:f>
              <c:numCache>
                <c:formatCode>General</c:formatCode>
                <c:ptCount val="6"/>
                <c:pt idx="0">
                  <c:v>1281</c:v>
                </c:pt>
                <c:pt idx="1">
                  <c:v>1032</c:v>
                </c:pt>
                <c:pt idx="2">
                  <c:v>958</c:v>
                </c:pt>
                <c:pt idx="3">
                  <c:v>1155</c:v>
                </c:pt>
                <c:pt idx="4">
                  <c:v>1286</c:v>
                </c:pt>
                <c:pt idx="5">
                  <c:v>1117</c:v>
                </c:pt>
              </c:numCache>
            </c:numRef>
          </c:val>
          <c:extLst>
            <c:ext xmlns:c16="http://schemas.microsoft.com/office/drawing/2014/chart" uri="{C3380CC4-5D6E-409C-BE32-E72D297353CC}">
              <c16:uniqueId val="{00000000-0353-4B3B-9490-B8E49266C8A7}"/>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[pivot assignment.xlsx]Sheet1!PivotTable6</c:name>
    <c:fmtId val="0"/>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marker>
          <c:symbol val="none"/>
        </c:marker>
        <c:dLbl>
          <c:idx val="0"/>
          <c:spPr>
            <a:solidFill>
              <a:srgbClr val="A02B93">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010282682056047"/>
          <c:y val="0.21801749162980069"/>
          <c:w val="0.74202001923672589"/>
          <c:h val="0.5497030627355326"/>
        </c:manualLayout>
      </c:layout>
      <c:bar3DChart>
        <c:barDir val="col"/>
        <c:grouping val="clustered"/>
        <c:varyColors val="0"/>
        <c:ser>
          <c:idx val="0"/>
          <c:order val="0"/>
          <c:tx>
            <c:strRef>
              <c:f>Sheet1!$H$147</c:f>
              <c:strCache>
                <c:ptCount val="1"/>
                <c:pt idx="0">
                  <c:v>Total</c:v>
                </c:pt>
              </c:strCache>
            </c:strRef>
          </c:tx>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invertIfNegative val="0"/>
          <c:dLbls>
            <c:spPr>
              <a:solidFill>
                <a:srgbClr val="A02B93">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Sheet1!$G$148:$G$152</c:f>
              <c:strCache>
                <c:ptCount val="4"/>
                <c:pt idx="0">
                  <c:v>East</c:v>
                </c:pt>
                <c:pt idx="1">
                  <c:v>North</c:v>
                </c:pt>
                <c:pt idx="2">
                  <c:v>South</c:v>
                </c:pt>
                <c:pt idx="3">
                  <c:v>West</c:v>
                </c:pt>
              </c:strCache>
            </c:strRef>
          </c:cat>
          <c:val>
            <c:numRef>
              <c:f>Sheet1!$H$148:$H$152</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CE62-40B3-8E36-60C010A49E4B}"/>
            </c:ext>
          </c:extLst>
        </c:ser>
        <c:dLbls>
          <c:showLegendKey val="0"/>
          <c:showVal val="1"/>
          <c:showCatName val="0"/>
          <c:showSerName val="0"/>
          <c:showPercent val="0"/>
          <c:showBubbleSize val="0"/>
        </c:dLbls>
        <c:gapWidth val="84"/>
        <c:gapDepth val="53"/>
        <c:shape val="box"/>
        <c:axId val="649931759"/>
        <c:axId val="649921199"/>
        <c:axId val="0"/>
      </c:bar3DChart>
      <c:catAx>
        <c:axId val="6499317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49921199"/>
        <c:crosses val="autoZero"/>
        <c:auto val="1"/>
        <c:lblAlgn val="ctr"/>
        <c:lblOffset val="100"/>
        <c:noMultiLvlLbl val="0"/>
      </c:catAx>
      <c:valAx>
        <c:axId val="649921199"/>
        <c:scaling>
          <c:orientation val="minMax"/>
        </c:scaling>
        <c:delete val="1"/>
        <c:axPos val="l"/>
        <c:numFmt formatCode="General" sourceLinked="1"/>
        <c:majorTickMark val="out"/>
        <c:minorTickMark val="none"/>
        <c:tickLblPos val="nextTo"/>
        <c:crossAx val="649931759"/>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[pivot assignment.xlsx]Sheet1!PivotTable8</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Sheet1!$J$167</c:f>
              <c:strCache>
                <c:ptCount val="1"/>
                <c:pt idx="0">
                  <c:v>Total</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3"/>
                </a:solidFill>
              </a:ln>
              <a:effectLst/>
            </c:spPr>
            <c:trendlineType val="linear"/>
            <c:dispRSqr val="0"/>
            <c:dispEq val="0"/>
          </c:trendline>
          <c:cat>
            <c:strRef>
              <c:f>Sheet1!$I$168:$I$174</c:f>
              <c:strCache>
                <c:ptCount val="6"/>
                <c:pt idx="0">
                  <c:v>Jan</c:v>
                </c:pt>
                <c:pt idx="1">
                  <c:v>Feb</c:v>
                </c:pt>
                <c:pt idx="2">
                  <c:v>Mar</c:v>
                </c:pt>
                <c:pt idx="3">
                  <c:v>Apr</c:v>
                </c:pt>
                <c:pt idx="4">
                  <c:v>May</c:v>
                </c:pt>
                <c:pt idx="5">
                  <c:v>Jun</c:v>
                </c:pt>
              </c:strCache>
            </c:strRef>
          </c:cat>
          <c:val>
            <c:numRef>
              <c:f>Sheet1!$J$168:$J$174</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8B3F-4558-8699-83D55A546F2E}"/>
            </c:ext>
          </c:extLst>
        </c:ser>
        <c:dLbls>
          <c:dLblPos val="t"/>
          <c:showLegendKey val="0"/>
          <c:showVal val="1"/>
          <c:showCatName val="0"/>
          <c:showSerName val="0"/>
          <c:showPercent val="0"/>
          <c:showBubbleSize val="0"/>
        </c:dLbls>
        <c:marker val="1"/>
        <c:smooth val="0"/>
        <c:axId val="582432159"/>
        <c:axId val="582435039"/>
      </c:lineChart>
      <c:catAx>
        <c:axId val="58243215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2435039"/>
        <c:crosses val="autoZero"/>
        <c:auto val="1"/>
        <c:lblAlgn val="ctr"/>
        <c:lblOffset val="100"/>
        <c:noMultiLvlLbl val="0"/>
      </c:catAx>
      <c:valAx>
        <c:axId val="5824350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2432159"/>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assignment.xlsx]Sheet1!PivotTable3</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Sheet1!$L$201</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F02C-4200-A6D3-B55F4D5FF7FB}"/>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F02C-4200-A6D3-B55F4D5FF7F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Sheet1!$K$202:$K$204</c:f>
              <c:strCache>
                <c:ptCount val="2"/>
                <c:pt idx="0">
                  <c:v>Apples+Oranges</c:v>
                </c:pt>
                <c:pt idx="1">
                  <c:v>Other</c:v>
                </c:pt>
              </c:strCache>
            </c:strRef>
          </c:cat>
          <c:val>
            <c:numRef>
              <c:f>Sheet1!$L$202:$L$204</c:f>
              <c:numCache>
                <c:formatCode>General</c:formatCode>
                <c:ptCount val="2"/>
                <c:pt idx="0">
                  <c:v>4308</c:v>
                </c:pt>
                <c:pt idx="1">
                  <c:v>2521</c:v>
                </c:pt>
              </c:numCache>
            </c:numRef>
          </c:val>
          <c:extLst>
            <c:ext xmlns:c16="http://schemas.microsoft.com/office/drawing/2014/chart" uri="{C3380CC4-5D6E-409C-BE32-E72D297353CC}">
              <c16:uniqueId val="{00000000-A3F1-405F-9890-B4EA90ECC08C}"/>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434340</xdr:colOff>
      <xdr:row>96</xdr:row>
      <xdr:rowOff>0</xdr:rowOff>
    </xdr:from>
    <xdr:to>
      <xdr:col>15</xdr:col>
      <xdr:colOff>106680</xdr:colOff>
      <xdr:row>109</xdr:row>
      <xdr:rowOff>60960</xdr:rowOff>
    </xdr:to>
    <xdr:graphicFrame macro="">
      <xdr:nvGraphicFramePr>
        <xdr:cNvPr id="2" name="Chart 1">
          <a:extLst>
            <a:ext uri="{FF2B5EF4-FFF2-40B4-BE49-F238E27FC236}">
              <a16:creationId xmlns:a16="http://schemas.microsoft.com/office/drawing/2014/main" id="{E7959EFB-410F-0700-2E2A-4E91AA48BD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144780</xdr:colOff>
      <xdr:row>111</xdr:row>
      <xdr:rowOff>15241</xdr:rowOff>
    </xdr:from>
    <xdr:to>
      <xdr:col>15</xdr:col>
      <xdr:colOff>297180</xdr:colOff>
      <xdr:row>135</xdr:row>
      <xdr:rowOff>1</xdr:rowOff>
    </xdr:to>
    <mc:AlternateContent xmlns:mc="http://schemas.openxmlformats.org/markup-compatibility/2006" xmlns:sle15="http://schemas.microsoft.com/office/drawing/2012/slicer">
      <mc:Choice Requires="sle15">
        <xdr:graphicFrame macro="">
          <xdr:nvGraphicFramePr>
            <xdr:cNvPr id="6" name="Product">
              <a:extLst>
                <a:ext uri="{FF2B5EF4-FFF2-40B4-BE49-F238E27FC236}">
                  <a16:creationId xmlns:a16="http://schemas.microsoft.com/office/drawing/2014/main" id="{8F9CC864-33D4-FFAE-6AFF-0956863CC06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523220" y="19248121"/>
              <a:ext cx="1981200" cy="163068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8</xdr:col>
      <xdr:colOff>266700</xdr:colOff>
      <xdr:row>145</xdr:row>
      <xdr:rowOff>163830</xdr:rowOff>
    </xdr:from>
    <xdr:to>
      <xdr:col>15</xdr:col>
      <xdr:colOff>167640</xdr:colOff>
      <xdr:row>163</xdr:row>
      <xdr:rowOff>106680</xdr:rowOff>
    </xdr:to>
    <xdr:graphicFrame macro="">
      <xdr:nvGraphicFramePr>
        <xdr:cNvPr id="3" name="Chart 2">
          <a:extLst>
            <a:ext uri="{FF2B5EF4-FFF2-40B4-BE49-F238E27FC236}">
              <a16:creationId xmlns:a16="http://schemas.microsoft.com/office/drawing/2014/main" id="{8218BC2E-ACFD-7C53-7BDB-53E76AC20A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594360</xdr:colOff>
      <xdr:row>147</xdr:row>
      <xdr:rowOff>15241</xdr:rowOff>
    </xdr:from>
    <xdr:to>
      <xdr:col>19</xdr:col>
      <xdr:colOff>99060</xdr:colOff>
      <xdr:row>157</xdr:row>
      <xdr:rowOff>175261</xdr:rowOff>
    </xdr:to>
    <mc:AlternateContent xmlns:mc="http://schemas.openxmlformats.org/markup-compatibility/2006" xmlns:a14="http://schemas.microsoft.com/office/drawing/2010/main">
      <mc:Choice Requires="a14">
        <xdr:graphicFrame macro="">
          <xdr:nvGraphicFramePr>
            <xdr:cNvPr id="4" name="Product 1">
              <a:extLst>
                <a:ext uri="{FF2B5EF4-FFF2-40B4-BE49-F238E27FC236}">
                  <a16:creationId xmlns:a16="http://schemas.microsoft.com/office/drawing/2014/main" id="{E8FCDC75-0AC2-D9DE-8E9F-588A368B4A73}"/>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2169140" y="23096221"/>
              <a:ext cx="1943100" cy="1988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327660</xdr:colOff>
      <xdr:row>164</xdr:row>
      <xdr:rowOff>163830</xdr:rowOff>
    </xdr:from>
    <xdr:to>
      <xdr:col>17</xdr:col>
      <xdr:colOff>327660</xdr:colOff>
      <xdr:row>179</xdr:row>
      <xdr:rowOff>163830</xdr:rowOff>
    </xdr:to>
    <xdr:graphicFrame macro="">
      <xdr:nvGraphicFramePr>
        <xdr:cNvPr id="5" name="Chart 4">
          <a:extLst>
            <a:ext uri="{FF2B5EF4-FFF2-40B4-BE49-F238E27FC236}">
              <a16:creationId xmlns:a16="http://schemas.microsoft.com/office/drawing/2014/main" id="{63EF2464-FD8A-0A5C-2721-7A2AAD6D65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220980</xdr:colOff>
      <xdr:row>204</xdr:row>
      <xdr:rowOff>163830</xdr:rowOff>
    </xdr:from>
    <xdr:to>
      <xdr:col>15</xdr:col>
      <xdr:colOff>480060</xdr:colOff>
      <xdr:row>219</xdr:row>
      <xdr:rowOff>163830</xdr:rowOff>
    </xdr:to>
    <xdr:graphicFrame macro="">
      <xdr:nvGraphicFramePr>
        <xdr:cNvPr id="7" name="Chart 6">
          <a:extLst>
            <a:ext uri="{FF2B5EF4-FFF2-40B4-BE49-F238E27FC236}">
              <a16:creationId xmlns:a16="http://schemas.microsoft.com/office/drawing/2014/main" id="{76E0884D-C615-EAC5-EE6C-234FFDDA28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ngi kumari" refreshedDate="45963.398002430557" createdVersion="8" refreshedVersion="8" minRefreshableVersion="3" recordCount="20" xr:uid="{A259FAAE-E5CA-4EC4-B292-85F74B9D07C4}">
  <cacheSource type="worksheet">
    <worksheetSource ref="B2:E22" sheet="Sheet1"/>
  </cacheSource>
  <cacheFields count="4">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ngi kumari" refreshedDate="45963.423315972221" createdVersion="8" refreshedVersion="8" minRefreshableVersion="3" recordCount="20" xr:uid="{FDD7528D-9D8E-4CA1-B042-9D9B6C4C72C1}">
  <cacheSource type="worksheet">
    <worksheetSource ref="A2:E22" sheet="Sheet1"/>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24"/>
        </groupItems>
      </fieldGroup>
    </cacheField>
    <cacheField name="Months (Date)" numFmtId="0" databaseField="0">
      <fieldGroup base="0">
        <rangePr groupBy="months" startDate="2024-01-01T00:00:00" endDate="2024-07-01T00:00:00"/>
        <groupItems count="14">
          <s v="&lt;1/1/2024"/>
          <s v="Jan"/>
          <s v="Feb"/>
          <s v="Mar"/>
          <s v="Apr"/>
          <s v="May"/>
          <s v="Jun"/>
          <s v="Jul"/>
          <s v="Aug"/>
          <s v="Sep"/>
          <s v="Oct"/>
          <s v="Nov"/>
          <s v="Dec"/>
          <s v="&gt;7/1/2024"/>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ngi kumari" refreshedDate="45963.549943287035" createdVersion="8" refreshedVersion="8" minRefreshableVersion="3" recordCount="20" xr:uid="{E11D33C1-3FF8-4149-A30F-1F2BCE49BA9D}">
  <cacheSource type="worksheet">
    <worksheetSource name="Table3"/>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24"/>
        </groupItems>
      </fieldGroup>
    </cacheField>
    <cacheField name="Months (Date)" numFmtId="0" databaseField="0">
      <fieldGroup base="0">
        <rangePr groupBy="months" startDate="2024-01-01T00:00:00" endDate="2024-07-01T00:00:00"/>
        <groupItems count="14">
          <s v="&lt;1/1/2024"/>
          <s v="Jan"/>
          <s v="Feb"/>
          <s v="Mar"/>
          <s v="Apr"/>
          <s v="May"/>
          <s v="Jun"/>
          <s v="Jul"/>
          <s v="Aug"/>
          <s v="Sep"/>
          <s v="Oct"/>
          <s v="Nov"/>
          <s v="Dec"/>
          <s v="&gt;7/1/2024"/>
        </groupItems>
      </fieldGroup>
    </cacheField>
  </cacheFields>
  <extLst>
    <ext xmlns:x14="http://schemas.microsoft.com/office/spreadsheetml/2009/9/main" uri="{725AE2AE-9491-48be-B2B4-4EB974FC3084}">
      <x14:pivotCacheDefinition pivotCacheId="313491534"/>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ngi kumari" refreshedDate="45963.599407060188" createdVersion="8" refreshedVersion="8" minRefreshableVersion="3" recordCount="20" xr:uid="{AB31DB63-DB2B-4BAB-BEAB-54F6D9FF393A}">
  <cacheSource type="worksheet">
    <worksheetSource ref="H199:I219" sheet="Sheet1"/>
  </cacheSource>
  <cacheFields count="2">
    <cacheField name="Sales" numFmtId="0">
      <sharedItems containsSemiMixedTypes="0" containsString="0" containsNumber="1" containsInteger="1" minValue="53" maxValue="497"/>
    </cacheField>
    <cacheField name="Group" numFmtId="0">
      <sharedItems count="2">
        <s v="Other"/>
        <s v="Apples+Orange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Mangoes"/>
    <n v="456"/>
    <n v="93"/>
  </r>
  <r>
    <x v="1"/>
    <s v="Oranges"/>
    <n v="348"/>
    <n v="56"/>
  </r>
  <r>
    <x v="1"/>
    <s v="Mangoes"/>
    <n v="247"/>
    <n v="76"/>
  </r>
  <r>
    <x v="0"/>
    <s v="Apples"/>
    <n v="230"/>
    <n v="37"/>
  </r>
  <r>
    <x v="0"/>
    <s v="Mangoes"/>
    <n v="281"/>
    <n v="50"/>
  </r>
  <r>
    <x v="0"/>
    <s v="Oranges"/>
    <n v="334"/>
    <n v="52"/>
  </r>
  <r>
    <x v="1"/>
    <s v="Apples"/>
    <n v="417"/>
    <n v="29"/>
  </r>
  <r>
    <x v="0"/>
    <s v="Apples"/>
    <n v="441"/>
    <n v="44"/>
  </r>
  <r>
    <x v="1"/>
    <s v="Mangoes"/>
    <n v="76"/>
    <n v="63"/>
  </r>
  <r>
    <x v="0"/>
    <s v="Oranges"/>
    <n v="441"/>
    <n v="79"/>
  </r>
  <r>
    <x v="1"/>
    <s v="Mangoes"/>
    <n v="205"/>
    <n v="23"/>
  </r>
  <r>
    <x v="0"/>
    <s v="Oranges"/>
    <n v="483"/>
    <n v="97"/>
  </r>
  <r>
    <x v="2"/>
    <s v="Mangoes"/>
    <n v="467"/>
    <n v="97"/>
  </r>
  <r>
    <x v="0"/>
    <s v="Mangoes"/>
    <n v="380"/>
    <n v="92"/>
  </r>
  <r>
    <x v="1"/>
    <s v="Oranges"/>
    <n v="497"/>
    <n v="71"/>
  </r>
  <r>
    <x v="1"/>
    <s v="Mangoes"/>
    <n v="409"/>
    <n v="81"/>
  </r>
  <r>
    <x v="0"/>
    <s v="Oranges"/>
    <n v="53"/>
    <n v="45"/>
  </r>
  <r>
    <x v="0"/>
    <s v="Apples"/>
    <n v="398"/>
    <n v="33"/>
  </r>
  <r>
    <x v="3"/>
    <s v="Oranges"/>
    <n v="347"/>
    <n v="35"/>
  </r>
  <r>
    <x v="1"/>
    <s v="Apples"/>
    <n v="319"/>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456"/>
    <x v="0"/>
  </r>
  <r>
    <n v="348"/>
    <x v="1"/>
  </r>
  <r>
    <n v="247"/>
    <x v="0"/>
  </r>
  <r>
    <n v="230"/>
    <x v="1"/>
  </r>
  <r>
    <n v="281"/>
    <x v="0"/>
  </r>
  <r>
    <n v="334"/>
    <x v="1"/>
  </r>
  <r>
    <n v="417"/>
    <x v="1"/>
  </r>
  <r>
    <n v="441"/>
    <x v="1"/>
  </r>
  <r>
    <n v="76"/>
    <x v="0"/>
  </r>
  <r>
    <n v="441"/>
    <x v="1"/>
  </r>
  <r>
    <n v="205"/>
    <x v="0"/>
  </r>
  <r>
    <n v="483"/>
    <x v="1"/>
  </r>
  <r>
    <n v="467"/>
    <x v="0"/>
  </r>
  <r>
    <n v="380"/>
    <x v="0"/>
  </r>
  <r>
    <n v="497"/>
    <x v="1"/>
  </r>
  <r>
    <n v="409"/>
    <x v="0"/>
  </r>
  <r>
    <n v="53"/>
    <x v="1"/>
  </r>
  <r>
    <n v="398"/>
    <x v="1"/>
  </r>
  <r>
    <n v="347"/>
    <x v="1"/>
  </r>
  <r>
    <n v="31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8CBA11-F8F6-409E-95A0-87ABF435C71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4">
    <pivotField axis="axisRow" showAll="0">
      <items count="5">
        <item x="2"/>
        <item x="3"/>
        <item x="1"/>
        <item x="0"/>
        <item t="default"/>
      </items>
    </pivotField>
    <pivotField showAll="0"/>
    <pivotField dataField="1" showAll="0"/>
    <pivotField showAll="0"/>
  </pivotFields>
  <rowFields count="1">
    <field x="0"/>
  </rowFields>
  <rowItems count="5">
    <i>
      <x/>
    </i>
    <i>
      <x v="1"/>
    </i>
    <i>
      <x v="2"/>
    </i>
    <i>
      <x v="3"/>
    </i>
    <i t="grand">
      <x/>
    </i>
  </rowItems>
  <colItems count="1">
    <i/>
  </colItems>
  <dataFields count="1">
    <dataField name="Sum of Sale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2FA97C-855D-41CA-9900-072E2DD05A6C}"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2">
    <pivotField dataField="1" showAll="0"/>
    <pivotField axis="axisRow" showAll="0">
      <items count="3">
        <item x="1"/>
        <item x="0"/>
        <item t="default"/>
      </items>
    </pivotField>
  </pivotFields>
  <rowFields count="1">
    <field x="1"/>
  </rowFields>
  <rowItems count="3">
    <i>
      <x/>
    </i>
    <i>
      <x v="1"/>
    </i>
    <i t="grand">
      <x/>
    </i>
  </rowItems>
  <colItems count="1">
    <i/>
  </colItems>
  <dataFields count="1">
    <dataField name="Sum of Sales"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E350E7-22A7-4B30-9F85-8010BEF71C64}"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201:L204" firstHeaderRow="1" firstDataRow="1" firstDataCol="1"/>
  <pivotFields count="2">
    <pivotField dataField="1" showAll="0"/>
    <pivotField axis="axisRow" showAll="0">
      <items count="3">
        <item x="1"/>
        <item x="0"/>
        <item t="default"/>
      </items>
    </pivotField>
  </pivotFields>
  <rowFields count="1">
    <field x="1"/>
  </rowFields>
  <rowItems count="3">
    <i>
      <x/>
    </i>
    <i>
      <x v="1"/>
    </i>
    <i t="grand">
      <x/>
    </i>
  </rowItems>
  <colItems count="1">
    <i/>
  </colItems>
  <dataFields count="1">
    <dataField name="Sum of Sales" fld="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5C9D15-D775-482D-8569-F24D59D22C2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2:I17" firstHeaderRow="1" firstDataRow="1" firstDataCol="1"/>
  <pivotFields count="4">
    <pivotField axis="axisRow" showAll="0">
      <items count="5">
        <item x="2"/>
        <item x="3"/>
        <item x="1"/>
        <item x="0"/>
        <item t="default"/>
      </items>
    </pivotField>
    <pivotField showAll="0"/>
    <pivotField dataField="1" showAll="0"/>
    <pivotField showAll="0"/>
  </pivotFields>
  <rowFields count="1">
    <field x="0"/>
  </rowFields>
  <rowItems count="5">
    <i>
      <x/>
    </i>
    <i>
      <x v="1"/>
    </i>
    <i>
      <x v="2"/>
    </i>
    <i>
      <x v="3"/>
    </i>
    <i t="grand">
      <x/>
    </i>
  </rowItems>
  <colItems count="1">
    <i/>
  </colItems>
  <dataFields count="1">
    <dataField name="Sum of Sale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5D889B-5462-41BE-9DEB-39F1324F209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98:H105"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2">
    <field x="6"/>
    <field x="0"/>
  </rowFields>
  <rowItems count="7">
    <i>
      <x v="1"/>
    </i>
    <i>
      <x v="2"/>
    </i>
    <i>
      <x v="3"/>
    </i>
    <i>
      <x v="4"/>
    </i>
    <i>
      <x v="5"/>
    </i>
    <i>
      <x v="6"/>
    </i>
    <i t="grand">
      <x/>
    </i>
  </rowItems>
  <colItems count="1">
    <i/>
  </colItems>
  <dataFields count="1">
    <dataField name="Sum of Sales" fld="3"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2">
          <reference field="4294967294" count="1" selected="0">
            <x v="0"/>
          </reference>
          <reference field="6" count="1" selected="0">
            <x v="2"/>
          </reference>
        </references>
      </pivotArea>
    </chartFormat>
    <chartFormat chart="0" format="3">
      <pivotArea type="data" outline="0" fieldPosition="0">
        <references count="2">
          <reference field="4294967294" count="1" selected="0">
            <x v="0"/>
          </reference>
          <reference field="6" count="1" selected="0">
            <x v="3"/>
          </reference>
        </references>
      </pivotArea>
    </chartFormat>
    <chartFormat chart="0" format="4">
      <pivotArea type="data" outline="0" fieldPosition="0">
        <references count="2">
          <reference field="4294967294" count="1" selected="0">
            <x v="0"/>
          </reference>
          <reference field="6" count="1" selected="0">
            <x v="4"/>
          </reference>
        </references>
      </pivotArea>
    </chartFormat>
    <chartFormat chart="0" format="5">
      <pivotArea type="data" outline="0" fieldPosition="0">
        <references count="2">
          <reference field="4294967294" count="1" selected="0">
            <x v="0"/>
          </reference>
          <reference field="6" count="1" selected="0">
            <x v="5"/>
          </reference>
        </references>
      </pivotArea>
    </chartFormat>
    <chartFormat chart="0" format="6">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B77E04-C90B-4E1A-8990-434AF9DA0A84}"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89:H196"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6"/>
    <field x="0"/>
  </rowFields>
  <rowItems count="7">
    <i>
      <x v="1"/>
    </i>
    <i>
      <x v="2"/>
    </i>
    <i>
      <x v="3"/>
    </i>
    <i>
      <x v="4"/>
    </i>
    <i>
      <x v="5"/>
    </i>
    <i>
      <x v="6"/>
    </i>
    <i t="grand">
      <x/>
    </i>
  </rowItems>
  <colItems count="1">
    <i/>
  </colItems>
  <dataFields count="1">
    <dataField name="Average of Sales" fld="3" subtotal="average" baseField="6"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9E4737-87F6-4380-81C3-3D3C1F37202B}"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167:J174"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7">
    <i>
      <x v="1"/>
    </i>
    <i>
      <x v="2"/>
    </i>
    <i>
      <x v="3"/>
    </i>
    <i>
      <x v="4"/>
    </i>
    <i>
      <x v="5"/>
    </i>
    <i>
      <x v="6"/>
    </i>
    <i t="grand">
      <x/>
    </i>
  </rowItems>
  <colItems count="1">
    <i/>
  </colItems>
  <dataFields count="1">
    <dataField name="Sum of Sales" fld="3" baseField="0" baseItem="0"/>
  </dataFields>
  <formats count="12">
    <format dxfId="39">
      <pivotArea type="all" dataOnly="0" outline="0" fieldPosition="0"/>
    </format>
    <format dxfId="38">
      <pivotArea outline="0" collapsedLevelsAreSubtotals="1" fieldPosition="0"/>
    </format>
    <format dxfId="37">
      <pivotArea field="6" type="button" dataOnly="0" labelOnly="1" outline="0" axis="axisRow" fieldPosition="0"/>
    </format>
    <format dxfId="36">
      <pivotArea dataOnly="0" labelOnly="1" fieldPosition="0">
        <references count="1">
          <reference field="6" count="6">
            <x v="1"/>
            <x v="2"/>
            <x v="3"/>
            <x v="4"/>
            <x v="5"/>
            <x v="6"/>
          </reference>
        </references>
      </pivotArea>
    </format>
    <format dxfId="35">
      <pivotArea dataOnly="0" labelOnly="1" grandRow="1" outline="0" fieldPosition="0"/>
    </format>
    <format dxfId="34">
      <pivotArea dataOnly="0" labelOnly="1" outline="0" axis="axisValues" fieldPosition="0"/>
    </format>
    <format dxfId="33">
      <pivotArea type="all" dataOnly="0" outline="0" fieldPosition="0"/>
    </format>
    <format dxfId="32">
      <pivotArea outline="0" collapsedLevelsAreSubtotals="1" fieldPosition="0"/>
    </format>
    <format dxfId="31">
      <pivotArea field="6" type="button" dataOnly="0" labelOnly="1" outline="0" axis="axisRow" fieldPosition="0"/>
    </format>
    <format dxfId="30">
      <pivotArea dataOnly="0" labelOnly="1" fieldPosition="0">
        <references count="1">
          <reference field="6" count="6">
            <x v="1"/>
            <x v="2"/>
            <x v="3"/>
            <x v="4"/>
            <x v="5"/>
            <x v="6"/>
          </reference>
        </references>
      </pivotArea>
    </format>
    <format dxfId="29">
      <pivotArea dataOnly="0" labelOnly="1" grandRow="1" outline="0" fieldPosition="0"/>
    </format>
    <format dxfId="2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575047-B836-48EB-9AE7-E03548232F6F}"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147:H152"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3" baseField="0" baseItem="0"/>
  </dataFields>
  <formats count="12">
    <format dxfId="51">
      <pivotArea type="all" dataOnly="0" outline="0" fieldPosition="0"/>
    </format>
    <format dxfId="50">
      <pivotArea outline="0" collapsedLevelsAreSubtotals="1" fieldPosition="0"/>
    </format>
    <format dxfId="49">
      <pivotArea field="1" type="button" dataOnly="0" labelOnly="1" outline="0" axis="axisRow" fieldPosition="0"/>
    </format>
    <format dxfId="48">
      <pivotArea dataOnly="0" labelOnly="1" fieldPosition="0">
        <references count="1">
          <reference field="1" count="0"/>
        </references>
      </pivotArea>
    </format>
    <format dxfId="47">
      <pivotArea dataOnly="0" labelOnly="1" grandRow="1" outline="0" fieldPosition="0"/>
    </format>
    <format dxfId="46">
      <pivotArea dataOnly="0" labelOnly="1" outline="0" axis="axisValues" fieldPosition="0"/>
    </format>
    <format dxfId="45">
      <pivotArea type="all" dataOnly="0" outline="0" fieldPosition="0"/>
    </format>
    <format dxfId="44">
      <pivotArea outline="0" collapsedLevelsAreSubtotals="1" fieldPosition="0"/>
    </format>
    <format dxfId="43">
      <pivotArea field="1" type="button" dataOnly="0" labelOnly="1" outline="0" axis="axisRow" fieldPosition="0"/>
    </format>
    <format dxfId="42">
      <pivotArea dataOnly="0" labelOnly="1" fieldPosition="0">
        <references count="1">
          <reference field="1" count="0"/>
        </references>
      </pivotArea>
    </format>
    <format dxfId="41">
      <pivotArea dataOnly="0" labelOnly="1" grandRow="1" outline="0" fieldPosition="0"/>
    </format>
    <format dxfId="4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09ECDA94-012D-4C44-9CBA-818DF8A8416D}" sourceName="Product">
  <pivotTables>
    <pivotTable tabId="1" name="PivotTable6"/>
  </pivotTables>
  <data>
    <tabular pivotCacheId="31349153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D890AEC-3382-47EB-9010-E912A885208F}" sourceName="Product">
  <extLst>
    <x:ext xmlns:x15="http://schemas.microsoft.com/office/spreadsheetml/2010/11/main" uri="{2F2917AC-EB37-4324-AD4E-5DD8C200BD13}">
      <x15:tableSlicerCache tableId="2"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91B3034E-75A5-4339-80AE-48C2D7485ABA}" cache="Slicer_Product1" caption="Product"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0181D7D3-6064-4EB1-B2D6-09B4142444F5}" cache="Slicer_Product" caption="Product"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FEC400-DE51-457E-A511-CA4957087EA7}" name="Table1" displayName="Table1" ref="G49:K69" totalsRowShown="0" headerRowDxfId="27" headerRowBorderDxfId="26" tableBorderDxfId="25" totalsRowBorderDxfId="24">
  <autoFilter ref="G49:K69" xr:uid="{01FEC400-DE51-457E-A511-CA4957087EA7}"/>
  <sortState xmlns:xlrd2="http://schemas.microsoft.com/office/spreadsheetml/2017/richdata2" ref="G50:K69">
    <sortCondition ref="I49:I69"/>
  </sortState>
  <tableColumns count="5">
    <tableColumn id="1" xr3:uid="{8754480E-C82A-4FCB-A9DE-A5876413E5A8}" name="Date" dataDxfId="23"/>
    <tableColumn id="2" xr3:uid="{830611AD-9BCE-4105-AA60-787F1626ECCF}" name="Region" dataDxfId="22"/>
    <tableColumn id="3" xr3:uid="{2E784BEC-A47F-4597-A00D-C3C3A15B7151}" name="Product" dataDxfId="21"/>
    <tableColumn id="4" xr3:uid="{8A3CE0AA-4EEA-428D-802D-4B5D7A6A485D}" name="Sales" dataDxfId="20"/>
    <tableColumn id="5" xr3:uid="{20D1B0EF-A1E8-4CD9-A0A7-D807CDC5C5DC}" name="Quantity" dataDxfId="19"/>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A3A9834-061E-430E-A379-976C6DAF2292}" name="Table2" displayName="Table2" ref="G114:K134" totalsRowShown="0" headerRowDxfId="18" headerRowBorderDxfId="17" tableBorderDxfId="16" totalsRowBorderDxfId="15">
  <autoFilter ref="G114:K134" xr:uid="{3A3A9834-061E-430E-A379-976C6DAF2292}">
    <filterColumn colId="2">
      <filters>
        <filter val="Apples"/>
      </filters>
    </filterColumn>
  </autoFilter>
  <tableColumns count="5">
    <tableColumn id="1" xr3:uid="{C708E27C-F0B9-4740-B7BB-FE58555AF881}" name="Date" dataDxfId="14"/>
    <tableColumn id="2" xr3:uid="{13A7EE49-805B-4714-869B-815CCB99CFC2}" name="Region" dataDxfId="13"/>
    <tableColumn id="3" xr3:uid="{507E585A-2FFA-4CD0-A0F8-D18D67EF0295}" name="Product" dataDxfId="12"/>
    <tableColumn id="4" xr3:uid="{661224E5-CBE7-43E3-9A3F-E2C34AE7B7D0}" name="Sales" dataDxfId="11"/>
    <tableColumn id="5" xr3:uid="{192E94ED-734A-49B0-8A2C-902952B6AF1D}" name="Quantity" dataDxfId="10"/>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2553044-676C-464D-B952-3BEF770D449E}" name="Table3" displayName="Table3" ref="A143:E163" totalsRowShown="0" headerRowDxfId="9" headerRowBorderDxfId="8" tableBorderDxfId="7" totalsRowBorderDxfId="6">
  <autoFilter ref="A143:E163" xr:uid="{D2553044-676C-464D-B952-3BEF770D449E}"/>
  <tableColumns count="5">
    <tableColumn id="1" xr3:uid="{A4C605DB-7D44-4513-9F35-6B6A213D2548}" name="Date" dataDxfId="5"/>
    <tableColumn id="2" xr3:uid="{4D3E4B4E-9571-4B98-82BE-9BCB213B055F}" name="Region" dataDxfId="4"/>
    <tableColumn id="3" xr3:uid="{360A3AA7-A374-499C-AF4F-2F38CBAB3366}" name="Product" dataDxfId="3"/>
    <tableColumn id="4" xr3:uid="{EDC6D5A2-621F-4EBA-8FD4-9298F6DFC461}" name="Sales" dataDxfId="2"/>
    <tableColumn id="5" xr3:uid="{80F9D789-37DF-4350-8668-DAB59FFA13AA}" name="Quantity" dataDxfId="1"/>
  </tableColumns>
  <tableStyleInfo name="TableStyleLight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13" Type="http://schemas.microsoft.com/office/2007/relationships/slicer" Target="../slicers/slicer2.xml"/><Relationship Id="rId3" Type="http://schemas.openxmlformats.org/officeDocument/2006/relationships/pivotTable" Target="../pivotTables/pivotTable5.xml"/><Relationship Id="rId7" Type="http://schemas.openxmlformats.org/officeDocument/2006/relationships/printerSettings" Target="../printerSettings/printerSettings1.bin"/><Relationship Id="rId12" Type="http://schemas.microsoft.com/office/2007/relationships/slicer" Target="../slicers/slicer1.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11" Type="http://schemas.openxmlformats.org/officeDocument/2006/relationships/table" Target="../tables/table3.xml"/><Relationship Id="rId5" Type="http://schemas.openxmlformats.org/officeDocument/2006/relationships/pivotTable" Target="../pivotTables/pivotTable7.xml"/><Relationship Id="rId10" Type="http://schemas.openxmlformats.org/officeDocument/2006/relationships/table" Target="../tables/table2.xml"/><Relationship Id="rId4" Type="http://schemas.openxmlformats.org/officeDocument/2006/relationships/pivotTable" Target="../pivotTables/pivotTable6.xml"/><Relationship Id="rId9"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4B072-B342-4557-96B2-61026A428099}">
  <dimension ref="A3:B8"/>
  <sheetViews>
    <sheetView workbookViewId="0">
      <selection activeCell="A3" sqref="A3:B8"/>
    </sheetView>
  </sheetViews>
  <sheetFormatPr defaultRowHeight="14.4" x14ac:dyDescent="0.3"/>
  <cols>
    <col min="1" max="1" width="12.44140625" bestFit="1" customWidth="1"/>
    <col min="2" max="2" width="11.5546875" bestFit="1" customWidth="1"/>
  </cols>
  <sheetData>
    <row r="3" spans="1:2" x14ac:dyDescent="0.3">
      <c r="A3" s="7" t="s">
        <v>22</v>
      </c>
      <c r="B3" t="s">
        <v>24</v>
      </c>
    </row>
    <row r="4" spans="1:2" x14ac:dyDescent="0.3">
      <c r="A4" s="8" t="s">
        <v>10</v>
      </c>
      <c r="B4">
        <v>467</v>
      </c>
    </row>
    <row r="5" spans="1:2" x14ac:dyDescent="0.3">
      <c r="A5" s="8" t="s">
        <v>11</v>
      </c>
      <c r="B5">
        <v>347</v>
      </c>
    </row>
    <row r="6" spans="1:2" x14ac:dyDescent="0.3">
      <c r="A6" s="8" t="s">
        <v>7</v>
      </c>
      <c r="B6">
        <v>2518</v>
      </c>
    </row>
    <row r="7" spans="1:2" x14ac:dyDescent="0.3">
      <c r="A7" s="8" t="s">
        <v>5</v>
      </c>
      <c r="B7">
        <v>3497</v>
      </c>
    </row>
    <row r="8" spans="1:2" x14ac:dyDescent="0.3">
      <c r="A8" s="8" t="s">
        <v>23</v>
      </c>
      <c r="B8">
        <v>6829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1C51C-824B-4CC5-A7B4-F493D361EBC9}">
  <dimension ref="A3:B6"/>
  <sheetViews>
    <sheetView workbookViewId="0">
      <selection activeCell="A3" sqref="A3:B6"/>
    </sheetView>
  </sheetViews>
  <sheetFormatPr defaultRowHeight="14.4" x14ac:dyDescent="0.3"/>
  <cols>
    <col min="1" max="1" width="14.33203125" bestFit="1" customWidth="1"/>
    <col min="2" max="2" width="11.5546875" bestFit="1" customWidth="1"/>
  </cols>
  <sheetData>
    <row r="3" spans="1:2" x14ac:dyDescent="0.3">
      <c r="A3" s="7" t="s">
        <v>22</v>
      </c>
      <c r="B3" t="s">
        <v>24</v>
      </c>
    </row>
    <row r="4" spans="1:2" x14ac:dyDescent="0.3">
      <c r="A4" s="8" t="s">
        <v>56</v>
      </c>
      <c r="B4">
        <v>4308</v>
      </c>
    </row>
    <row r="5" spans="1:2" x14ac:dyDescent="0.3">
      <c r="A5" s="8" t="s">
        <v>57</v>
      </c>
      <c r="B5">
        <v>2521</v>
      </c>
    </row>
    <row r="6" spans="1:2" x14ac:dyDescent="0.3">
      <c r="A6" s="8" t="s">
        <v>23</v>
      </c>
      <c r="B6">
        <v>6829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AADFC-C813-4C2C-9101-1AB7F0D32B98}">
  <sheetPr filterMode="1"/>
  <dimension ref="A1:V219"/>
  <sheetViews>
    <sheetView tabSelected="1" topLeftCell="A93" zoomScaleNormal="100" workbookViewId="0">
      <selection activeCell="G112" sqref="G112:J112"/>
    </sheetView>
  </sheetViews>
  <sheetFormatPr defaultRowHeight="14.4" x14ac:dyDescent="0.3"/>
  <cols>
    <col min="1" max="1" width="17" customWidth="1"/>
    <col min="2" max="2" width="11" customWidth="1"/>
    <col min="3" max="3" width="10.33203125" customWidth="1"/>
    <col min="4" max="4" width="9.77734375" customWidth="1"/>
    <col min="5" max="5" width="11.88671875" customWidth="1"/>
    <col min="7" max="7" width="15.33203125" customWidth="1"/>
    <col min="8" max="8" width="14.44140625" bestFit="1" customWidth="1"/>
    <col min="9" max="9" width="16.44140625" customWidth="1"/>
    <col min="10" max="10" width="11" customWidth="1"/>
    <col min="11" max="11" width="13.33203125" customWidth="1"/>
    <col min="12" max="12" width="11.88671875" customWidth="1"/>
    <col min="14" max="14" width="8.88671875" customWidth="1"/>
  </cols>
  <sheetData>
    <row r="1" spans="1:16" x14ac:dyDescent="0.3">
      <c r="G1" s="21" t="s">
        <v>34</v>
      </c>
    </row>
    <row r="2" spans="1:16" x14ac:dyDescent="0.3">
      <c r="A2" s="1" t="s">
        <v>0</v>
      </c>
      <c r="B2" s="1" t="s">
        <v>1</v>
      </c>
      <c r="C2" s="1" t="s">
        <v>2</v>
      </c>
      <c r="D2" s="1" t="s">
        <v>3</v>
      </c>
      <c r="E2" s="1" t="s">
        <v>4</v>
      </c>
      <c r="G2" s="31" t="s">
        <v>12</v>
      </c>
      <c r="H2" s="31"/>
      <c r="I2" s="31"/>
      <c r="J2" s="31"/>
      <c r="K2" s="31"/>
    </row>
    <row r="3" spans="1:16" x14ac:dyDescent="0.3">
      <c r="A3" s="2">
        <v>45292</v>
      </c>
      <c r="B3" s="3" t="s">
        <v>5</v>
      </c>
      <c r="C3" s="3" t="s">
        <v>6</v>
      </c>
      <c r="D3" s="4">
        <v>456</v>
      </c>
      <c r="E3" s="4">
        <v>93</v>
      </c>
      <c r="G3" t="s">
        <v>13</v>
      </c>
    </row>
    <row r="4" spans="1:16" ht="16.8" customHeight="1" x14ac:dyDescent="0.3">
      <c r="A4" s="2">
        <v>45301.526319444441</v>
      </c>
      <c r="B4" s="3" t="s">
        <v>7</v>
      </c>
      <c r="C4" s="3" t="s">
        <v>8</v>
      </c>
      <c r="D4" s="4">
        <v>348</v>
      </c>
      <c r="E4" s="4">
        <v>56</v>
      </c>
      <c r="G4" s="5"/>
      <c r="H4" s="33" t="s">
        <v>16</v>
      </c>
      <c r="I4" s="33"/>
      <c r="J4" s="33"/>
      <c r="K4" s="33"/>
      <c r="L4" s="33"/>
      <c r="M4" s="33"/>
      <c r="N4" s="33"/>
      <c r="O4" s="33"/>
      <c r="P4" s="33"/>
    </row>
    <row r="5" spans="1:16" x14ac:dyDescent="0.3">
      <c r="A5" s="2">
        <v>45311.052627314813</v>
      </c>
      <c r="B5" s="3" t="s">
        <v>7</v>
      </c>
      <c r="C5" s="3" t="s">
        <v>6</v>
      </c>
      <c r="D5" s="4">
        <v>247</v>
      </c>
      <c r="E5" s="4">
        <v>76</v>
      </c>
      <c r="H5" s="33" t="s">
        <v>14</v>
      </c>
      <c r="I5" s="33"/>
      <c r="J5" s="33"/>
      <c r="K5" s="33"/>
      <c r="L5" s="33"/>
      <c r="M5" s="33"/>
      <c r="N5" s="33"/>
      <c r="O5" s="33"/>
      <c r="P5" s="33"/>
    </row>
    <row r="6" spans="1:16" x14ac:dyDescent="0.3">
      <c r="A6" s="2">
        <v>45320.578946759262</v>
      </c>
      <c r="B6" s="3" t="s">
        <v>5</v>
      </c>
      <c r="C6" s="3" t="s">
        <v>9</v>
      </c>
      <c r="D6" s="4">
        <v>230</v>
      </c>
      <c r="E6" s="4">
        <v>37</v>
      </c>
      <c r="H6" s="33" t="s">
        <v>15</v>
      </c>
      <c r="I6" s="33"/>
      <c r="J6" s="33"/>
      <c r="K6" s="33"/>
      <c r="L6" s="33"/>
      <c r="M6" s="33"/>
      <c r="N6" s="33"/>
      <c r="O6" s="33"/>
      <c r="P6" s="33"/>
    </row>
    <row r="7" spans="1:16" x14ac:dyDescent="0.3">
      <c r="A7" s="2">
        <v>45330.105266203704</v>
      </c>
      <c r="B7" s="3" t="s">
        <v>5</v>
      </c>
      <c r="C7" s="3" t="s">
        <v>6</v>
      </c>
      <c r="D7" s="4">
        <v>281</v>
      </c>
      <c r="E7" s="4">
        <v>50</v>
      </c>
      <c r="H7" s="33" t="s">
        <v>17</v>
      </c>
      <c r="I7" s="33"/>
      <c r="J7" s="33"/>
      <c r="K7" s="33"/>
      <c r="L7" s="33"/>
      <c r="M7" s="33"/>
      <c r="N7" s="33"/>
      <c r="O7" s="33"/>
      <c r="P7" s="33"/>
    </row>
    <row r="8" spans="1:16" x14ac:dyDescent="0.3">
      <c r="A8" s="2">
        <v>45339.631574074076</v>
      </c>
      <c r="B8" s="3" t="s">
        <v>5</v>
      </c>
      <c r="C8" s="3" t="s">
        <v>8</v>
      </c>
      <c r="D8" s="4">
        <v>334</v>
      </c>
      <c r="E8" s="4">
        <v>52</v>
      </c>
      <c r="H8" s="33" t="s">
        <v>18</v>
      </c>
      <c r="I8" s="33"/>
      <c r="J8" s="33"/>
      <c r="K8" s="33"/>
      <c r="L8" s="33"/>
      <c r="M8" s="33"/>
      <c r="N8" s="33"/>
      <c r="O8" s="33"/>
      <c r="P8" s="33"/>
    </row>
    <row r="9" spans="1:16" x14ac:dyDescent="0.3">
      <c r="A9" s="2">
        <v>45349.157893518517</v>
      </c>
      <c r="B9" s="3" t="s">
        <v>7</v>
      </c>
      <c r="C9" s="3" t="s">
        <v>9</v>
      </c>
      <c r="D9" s="4">
        <v>417</v>
      </c>
      <c r="E9" s="4">
        <v>29</v>
      </c>
      <c r="H9" s="28" t="s">
        <v>19</v>
      </c>
      <c r="I9" s="28"/>
      <c r="J9" s="28"/>
      <c r="K9" s="28"/>
      <c r="L9" s="28"/>
      <c r="M9" s="28"/>
      <c r="N9" s="28"/>
      <c r="O9" s="28"/>
      <c r="P9" s="28"/>
    </row>
    <row r="10" spans="1:16" x14ac:dyDescent="0.3">
      <c r="A10" s="2">
        <v>45358.684212962966</v>
      </c>
      <c r="B10" s="3" t="s">
        <v>5</v>
      </c>
      <c r="C10" s="3" t="s">
        <v>9</v>
      </c>
      <c r="D10" s="4">
        <v>441</v>
      </c>
      <c r="E10" s="4">
        <v>44</v>
      </c>
    </row>
    <row r="11" spans="1:16" x14ac:dyDescent="0.3">
      <c r="A11" s="2">
        <v>45368.210520833331</v>
      </c>
      <c r="B11" s="3" t="s">
        <v>7</v>
      </c>
      <c r="C11" s="3" t="s">
        <v>6</v>
      </c>
      <c r="D11" s="4">
        <v>76</v>
      </c>
      <c r="E11" s="4">
        <v>63</v>
      </c>
      <c r="G11" s="29" t="s">
        <v>20</v>
      </c>
      <c r="H11" s="29"/>
      <c r="I11" s="29"/>
      <c r="J11" s="29"/>
      <c r="K11" s="29"/>
      <c r="L11" s="29"/>
    </row>
    <row r="12" spans="1:16" x14ac:dyDescent="0.3">
      <c r="A12" s="2">
        <v>45377.736840277779</v>
      </c>
      <c r="B12" s="3" t="s">
        <v>5</v>
      </c>
      <c r="C12" s="3" t="s">
        <v>8</v>
      </c>
      <c r="D12" s="4">
        <v>441</v>
      </c>
      <c r="E12" s="4">
        <v>79</v>
      </c>
      <c r="G12" t="s">
        <v>21</v>
      </c>
      <c r="H12" s="7" t="s">
        <v>22</v>
      </c>
      <c r="I12" t="s">
        <v>24</v>
      </c>
    </row>
    <row r="13" spans="1:16" x14ac:dyDescent="0.3">
      <c r="A13" s="2">
        <v>45387.263159722221</v>
      </c>
      <c r="B13" s="3" t="s">
        <v>7</v>
      </c>
      <c r="C13" s="3" t="s">
        <v>6</v>
      </c>
      <c r="D13" s="4">
        <v>205</v>
      </c>
      <c r="E13" s="4">
        <v>23</v>
      </c>
      <c r="H13" s="8" t="s">
        <v>10</v>
      </c>
      <c r="I13">
        <v>467</v>
      </c>
    </row>
    <row r="14" spans="1:16" x14ac:dyDescent="0.3">
      <c r="A14" s="2">
        <v>45396.789479166669</v>
      </c>
      <c r="B14" s="3" t="s">
        <v>5</v>
      </c>
      <c r="C14" s="3" t="s">
        <v>8</v>
      </c>
      <c r="D14" s="4">
        <v>483</v>
      </c>
      <c r="E14" s="4">
        <v>97</v>
      </c>
      <c r="H14" s="8" t="s">
        <v>11</v>
      </c>
      <c r="I14">
        <v>347</v>
      </c>
    </row>
    <row r="15" spans="1:16" x14ac:dyDescent="0.3">
      <c r="A15" s="2">
        <v>45406.315787037034</v>
      </c>
      <c r="B15" s="3" t="s">
        <v>10</v>
      </c>
      <c r="C15" s="3" t="s">
        <v>6</v>
      </c>
      <c r="D15" s="4">
        <v>467</v>
      </c>
      <c r="E15" s="4">
        <v>97</v>
      </c>
      <c r="H15" s="8" t="s">
        <v>7</v>
      </c>
      <c r="I15">
        <v>2518</v>
      </c>
    </row>
    <row r="16" spans="1:16" x14ac:dyDescent="0.3">
      <c r="A16" s="2">
        <v>45415.842106481483</v>
      </c>
      <c r="B16" s="3" t="s">
        <v>5</v>
      </c>
      <c r="C16" s="3" t="s">
        <v>6</v>
      </c>
      <c r="D16" s="4">
        <v>380</v>
      </c>
      <c r="E16" s="4">
        <v>92</v>
      </c>
      <c r="H16" s="8" t="s">
        <v>5</v>
      </c>
      <c r="I16">
        <v>3497</v>
      </c>
    </row>
    <row r="17" spans="1:12" x14ac:dyDescent="0.3">
      <c r="A17" s="2">
        <v>45425.368425925924</v>
      </c>
      <c r="B17" s="3" t="s">
        <v>7</v>
      </c>
      <c r="C17" s="3" t="s">
        <v>8</v>
      </c>
      <c r="D17" s="4">
        <v>497</v>
      </c>
      <c r="E17" s="4">
        <v>71</v>
      </c>
      <c r="H17" s="8" t="s">
        <v>23</v>
      </c>
      <c r="I17">
        <v>6829</v>
      </c>
    </row>
    <row r="18" spans="1:12" x14ac:dyDescent="0.3">
      <c r="A18" s="2">
        <v>45434.894733796296</v>
      </c>
      <c r="B18" s="3" t="s">
        <v>7</v>
      </c>
      <c r="C18" s="3" t="s">
        <v>6</v>
      </c>
      <c r="D18" s="4">
        <v>409</v>
      </c>
      <c r="E18" s="4">
        <v>81</v>
      </c>
    </row>
    <row r="19" spans="1:12" x14ac:dyDescent="0.3">
      <c r="A19" s="2">
        <v>45444.421053240738</v>
      </c>
      <c r="B19" s="3" t="s">
        <v>5</v>
      </c>
      <c r="C19" s="3" t="s">
        <v>8</v>
      </c>
      <c r="D19" s="4">
        <v>53</v>
      </c>
      <c r="E19" s="4">
        <v>45</v>
      </c>
      <c r="G19" s="6" t="s">
        <v>25</v>
      </c>
      <c r="H19" s="6"/>
      <c r="I19" s="6"/>
      <c r="J19" s="6"/>
      <c r="K19" s="6"/>
      <c r="L19" s="6"/>
    </row>
    <row r="20" spans="1:12" x14ac:dyDescent="0.3">
      <c r="A20" s="2">
        <v>45453.947372685187</v>
      </c>
      <c r="B20" s="3" t="s">
        <v>5</v>
      </c>
      <c r="C20" s="3" t="s">
        <v>9</v>
      </c>
      <c r="D20" s="4">
        <v>398</v>
      </c>
      <c r="E20" s="4">
        <v>33</v>
      </c>
      <c r="G20" t="s">
        <v>21</v>
      </c>
      <c r="H20" s="1" t="s">
        <v>0</v>
      </c>
      <c r="I20" s="1" t="s">
        <v>1</v>
      </c>
      <c r="J20" s="1" t="s">
        <v>2</v>
      </c>
      <c r="K20" s="1" t="s">
        <v>3</v>
      </c>
      <c r="L20" s="1" t="s">
        <v>4</v>
      </c>
    </row>
    <row r="21" spans="1:12" x14ac:dyDescent="0.3">
      <c r="A21" s="2">
        <v>45463.473680555559</v>
      </c>
      <c r="B21" s="3" t="s">
        <v>11</v>
      </c>
      <c r="C21" s="3" t="s">
        <v>8</v>
      </c>
      <c r="D21" s="4">
        <v>347</v>
      </c>
      <c r="E21" s="4">
        <v>35</v>
      </c>
      <c r="H21" s="2">
        <v>45292</v>
      </c>
      <c r="I21" s="3" t="s">
        <v>5</v>
      </c>
      <c r="J21" s="3" t="s">
        <v>6</v>
      </c>
      <c r="K21" s="4">
        <v>456</v>
      </c>
      <c r="L21" s="4">
        <v>93</v>
      </c>
    </row>
    <row r="22" spans="1:12" x14ac:dyDescent="0.3">
      <c r="A22" s="2">
        <v>45473</v>
      </c>
      <c r="B22" s="3" t="s">
        <v>7</v>
      </c>
      <c r="C22" s="3" t="s">
        <v>9</v>
      </c>
      <c r="D22" s="4">
        <v>319</v>
      </c>
      <c r="E22" s="4">
        <v>45</v>
      </c>
      <c r="H22" s="2">
        <v>45301.526319444441</v>
      </c>
      <c r="I22" s="3" t="s">
        <v>7</v>
      </c>
      <c r="J22" s="3" t="s">
        <v>8</v>
      </c>
      <c r="K22" s="4">
        <v>348</v>
      </c>
      <c r="L22" s="4">
        <v>56</v>
      </c>
    </row>
    <row r="23" spans="1:12" x14ac:dyDescent="0.3">
      <c r="H23" s="2">
        <v>45311.052627314813</v>
      </c>
      <c r="I23" s="3" t="s">
        <v>7</v>
      </c>
      <c r="J23" s="3" t="s">
        <v>6</v>
      </c>
      <c r="K23" s="4">
        <v>247</v>
      </c>
      <c r="L23" s="4">
        <v>76</v>
      </c>
    </row>
    <row r="24" spans="1:12" x14ac:dyDescent="0.3">
      <c r="H24" s="2">
        <v>45320.578946759262</v>
      </c>
      <c r="I24" s="3" t="s">
        <v>5</v>
      </c>
      <c r="J24" s="3" t="s">
        <v>9</v>
      </c>
      <c r="K24" s="4">
        <v>230</v>
      </c>
      <c r="L24" s="4">
        <v>37</v>
      </c>
    </row>
    <row r="25" spans="1:12" x14ac:dyDescent="0.3">
      <c r="H25" s="2">
        <v>45330.105266203704</v>
      </c>
      <c r="I25" s="3" t="s">
        <v>5</v>
      </c>
      <c r="J25" s="3" t="s">
        <v>6</v>
      </c>
      <c r="K25" s="4">
        <v>281</v>
      </c>
      <c r="L25" s="4">
        <v>50</v>
      </c>
    </row>
    <row r="26" spans="1:12" x14ac:dyDescent="0.3">
      <c r="H26" s="2">
        <v>45339.631574074076</v>
      </c>
      <c r="I26" s="3" t="s">
        <v>5</v>
      </c>
      <c r="J26" s="3" t="s">
        <v>8</v>
      </c>
      <c r="K26" s="4">
        <v>334</v>
      </c>
      <c r="L26" s="4">
        <v>52</v>
      </c>
    </row>
    <row r="27" spans="1:12" x14ac:dyDescent="0.3">
      <c r="H27" s="2">
        <v>45349.157893518517</v>
      </c>
      <c r="I27" s="3" t="s">
        <v>7</v>
      </c>
      <c r="J27" s="3" t="s">
        <v>9</v>
      </c>
      <c r="K27" s="4">
        <v>417</v>
      </c>
      <c r="L27" s="4">
        <v>29</v>
      </c>
    </row>
    <row r="28" spans="1:12" x14ac:dyDescent="0.3">
      <c r="H28" s="2">
        <v>45358.684212962966</v>
      </c>
      <c r="I28" s="3" t="s">
        <v>5</v>
      </c>
      <c r="J28" s="3" t="s">
        <v>9</v>
      </c>
      <c r="K28" s="4">
        <v>441</v>
      </c>
      <c r="L28" s="4">
        <v>44</v>
      </c>
    </row>
    <row r="29" spans="1:12" x14ac:dyDescent="0.3">
      <c r="H29" s="2">
        <v>45368.210520833331</v>
      </c>
      <c r="I29" s="3" t="s">
        <v>7</v>
      </c>
      <c r="J29" s="3" t="s">
        <v>6</v>
      </c>
      <c r="K29" s="4">
        <v>76</v>
      </c>
      <c r="L29" s="4">
        <v>63</v>
      </c>
    </row>
    <row r="30" spans="1:12" x14ac:dyDescent="0.3">
      <c r="H30" s="2">
        <v>45377.736840277779</v>
      </c>
      <c r="I30" s="3" t="s">
        <v>5</v>
      </c>
      <c r="J30" s="3" t="s">
        <v>8</v>
      </c>
      <c r="K30" s="4">
        <v>441</v>
      </c>
      <c r="L30" s="4">
        <v>79</v>
      </c>
    </row>
    <row r="31" spans="1:12" x14ac:dyDescent="0.3">
      <c r="H31" s="2">
        <v>45387.263159722221</v>
      </c>
      <c r="I31" s="3" t="s">
        <v>7</v>
      </c>
      <c r="J31" s="3" t="s">
        <v>6</v>
      </c>
      <c r="K31" s="4">
        <v>205</v>
      </c>
      <c r="L31" s="4">
        <v>23</v>
      </c>
    </row>
    <row r="32" spans="1:12" x14ac:dyDescent="0.3">
      <c r="H32" s="2">
        <v>45396.789479166669</v>
      </c>
      <c r="I32" s="3" t="s">
        <v>5</v>
      </c>
      <c r="J32" s="3" t="s">
        <v>8</v>
      </c>
      <c r="K32" s="4">
        <v>483</v>
      </c>
      <c r="L32" s="4">
        <v>97</v>
      </c>
    </row>
    <row r="33" spans="7:14" x14ac:dyDescent="0.3">
      <c r="H33" s="2">
        <v>45406.315787037034</v>
      </c>
      <c r="I33" s="3" t="s">
        <v>10</v>
      </c>
      <c r="J33" s="3" t="s">
        <v>6</v>
      </c>
      <c r="K33" s="4">
        <v>467</v>
      </c>
      <c r="L33" s="4">
        <v>97</v>
      </c>
    </row>
    <row r="34" spans="7:14" x14ac:dyDescent="0.3">
      <c r="H34" s="2">
        <v>45415.842106481483</v>
      </c>
      <c r="I34" s="3" t="s">
        <v>5</v>
      </c>
      <c r="J34" s="3" t="s">
        <v>6</v>
      </c>
      <c r="K34" s="4">
        <v>380</v>
      </c>
      <c r="L34" s="4">
        <v>92</v>
      </c>
    </row>
    <row r="35" spans="7:14" x14ac:dyDescent="0.3">
      <c r="H35" s="2">
        <v>45425.368425925924</v>
      </c>
      <c r="I35" s="3" t="s">
        <v>7</v>
      </c>
      <c r="J35" s="3" t="s">
        <v>8</v>
      </c>
      <c r="K35" s="4">
        <v>497</v>
      </c>
      <c r="L35" s="4">
        <v>71</v>
      </c>
    </row>
    <row r="36" spans="7:14" x14ac:dyDescent="0.3">
      <c r="H36" s="2">
        <v>45434.894733796296</v>
      </c>
      <c r="I36" s="3" t="s">
        <v>7</v>
      </c>
      <c r="J36" s="3" t="s">
        <v>6</v>
      </c>
      <c r="K36" s="4">
        <v>409</v>
      </c>
      <c r="L36" s="4">
        <v>81</v>
      </c>
    </row>
    <row r="37" spans="7:14" x14ac:dyDescent="0.3">
      <c r="H37" s="2">
        <v>45444.421053240738</v>
      </c>
      <c r="I37" s="3" t="s">
        <v>5</v>
      </c>
      <c r="J37" s="3" t="s">
        <v>8</v>
      </c>
      <c r="K37" s="4">
        <v>53</v>
      </c>
      <c r="L37" s="4">
        <v>45</v>
      </c>
    </row>
    <row r="38" spans="7:14" x14ac:dyDescent="0.3">
      <c r="H38" s="2">
        <v>45453.947372685187</v>
      </c>
      <c r="I38" s="3" t="s">
        <v>5</v>
      </c>
      <c r="J38" s="3" t="s">
        <v>9</v>
      </c>
      <c r="K38" s="4">
        <v>398</v>
      </c>
      <c r="L38" s="4">
        <v>33</v>
      </c>
    </row>
    <row r="39" spans="7:14" x14ac:dyDescent="0.3">
      <c r="H39" s="2">
        <v>45463.473680555559</v>
      </c>
      <c r="I39" s="3" t="s">
        <v>11</v>
      </c>
      <c r="J39" s="3" t="s">
        <v>8</v>
      </c>
      <c r="K39" s="4">
        <v>347</v>
      </c>
      <c r="L39" s="4">
        <v>35</v>
      </c>
    </row>
    <row r="40" spans="7:14" x14ac:dyDescent="0.3">
      <c r="H40" s="2">
        <v>45473</v>
      </c>
      <c r="I40" s="3" t="s">
        <v>7</v>
      </c>
      <c r="J40" s="3" t="s">
        <v>9</v>
      </c>
      <c r="K40" s="4">
        <v>319</v>
      </c>
      <c r="L40" s="4">
        <v>45</v>
      </c>
    </row>
    <row r="42" spans="7:14" x14ac:dyDescent="0.3">
      <c r="G42" s="30" t="s">
        <v>27</v>
      </c>
      <c r="H42" s="30"/>
    </row>
    <row r="44" spans="7:14" x14ac:dyDescent="0.3">
      <c r="G44" s="29" t="s">
        <v>26</v>
      </c>
      <c r="H44" s="29"/>
      <c r="I44" s="29"/>
      <c r="J44" s="29"/>
      <c r="K44" s="29"/>
      <c r="L44" s="29"/>
      <c r="M44" s="29"/>
    </row>
    <row r="45" spans="7:14" x14ac:dyDescent="0.3">
      <c r="G45" s="28" t="s">
        <v>29</v>
      </c>
      <c r="H45" s="28"/>
      <c r="I45" s="28"/>
      <c r="J45" s="28"/>
      <c r="K45" s="28"/>
      <c r="L45" s="28"/>
      <c r="M45" s="28"/>
      <c r="N45" s="28"/>
    </row>
    <row r="46" spans="7:14" x14ac:dyDescent="0.3">
      <c r="G46" s="28" t="s">
        <v>32</v>
      </c>
      <c r="H46" s="28"/>
      <c r="I46" s="28"/>
      <c r="J46" s="28"/>
      <c r="K46" s="28"/>
      <c r="L46" s="28"/>
      <c r="M46" s="28"/>
      <c r="N46" s="28"/>
    </row>
    <row r="47" spans="7:14" x14ac:dyDescent="0.3">
      <c r="G47" s="28" t="s">
        <v>28</v>
      </c>
      <c r="H47" s="28"/>
      <c r="I47" s="28"/>
      <c r="J47" s="28"/>
      <c r="K47" s="28"/>
      <c r="L47" s="28"/>
      <c r="M47" s="28"/>
    </row>
    <row r="49" spans="7:11" x14ac:dyDescent="0.3">
      <c r="G49" s="11" t="s">
        <v>0</v>
      </c>
      <c r="H49" s="12" t="s">
        <v>1</v>
      </c>
      <c r="I49" s="12" t="s">
        <v>2</v>
      </c>
      <c r="J49" s="12" t="s">
        <v>3</v>
      </c>
      <c r="K49" s="13" t="s">
        <v>4</v>
      </c>
    </row>
    <row r="50" spans="7:11" x14ac:dyDescent="0.3">
      <c r="G50" s="9">
        <v>45320.578946759262</v>
      </c>
      <c r="H50" s="3" t="s">
        <v>5</v>
      </c>
      <c r="I50" s="3" t="s">
        <v>9</v>
      </c>
      <c r="J50" s="4">
        <v>230</v>
      </c>
      <c r="K50" s="10">
        <v>37</v>
      </c>
    </row>
    <row r="51" spans="7:11" x14ac:dyDescent="0.3">
      <c r="G51" s="9">
        <v>45349.157893518517</v>
      </c>
      <c r="H51" s="3" t="s">
        <v>7</v>
      </c>
      <c r="I51" s="3" t="s">
        <v>9</v>
      </c>
      <c r="J51" s="4">
        <v>417</v>
      </c>
      <c r="K51" s="10">
        <v>29</v>
      </c>
    </row>
    <row r="52" spans="7:11" x14ac:dyDescent="0.3">
      <c r="G52" s="9">
        <v>45358.684212962966</v>
      </c>
      <c r="H52" s="3" t="s">
        <v>5</v>
      </c>
      <c r="I52" s="3" t="s">
        <v>9</v>
      </c>
      <c r="J52" s="4">
        <v>441</v>
      </c>
      <c r="K52" s="10">
        <v>44</v>
      </c>
    </row>
    <row r="53" spans="7:11" x14ac:dyDescent="0.3">
      <c r="G53" s="9">
        <v>45453.947372685187</v>
      </c>
      <c r="H53" s="3" t="s">
        <v>5</v>
      </c>
      <c r="I53" s="3" t="s">
        <v>9</v>
      </c>
      <c r="J53" s="4">
        <v>398</v>
      </c>
      <c r="K53" s="10">
        <v>33</v>
      </c>
    </row>
    <row r="54" spans="7:11" x14ac:dyDescent="0.3">
      <c r="G54" s="9">
        <v>45473</v>
      </c>
      <c r="H54" s="3" t="s">
        <v>7</v>
      </c>
      <c r="I54" s="3" t="s">
        <v>9</v>
      </c>
      <c r="J54" s="4">
        <v>319</v>
      </c>
      <c r="K54" s="10">
        <v>45</v>
      </c>
    </row>
    <row r="55" spans="7:11" x14ac:dyDescent="0.3">
      <c r="G55" s="9">
        <v>45292</v>
      </c>
      <c r="H55" s="3" t="s">
        <v>5</v>
      </c>
      <c r="I55" s="3" t="s">
        <v>6</v>
      </c>
      <c r="J55" s="4">
        <v>456</v>
      </c>
      <c r="K55" s="10">
        <v>93</v>
      </c>
    </row>
    <row r="56" spans="7:11" x14ac:dyDescent="0.3">
      <c r="G56" s="9">
        <v>45311.052627314813</v>
      </c>
      <c r="H56" s="3" t="s">
        <v>7</v>
      </c>
      <c r="I56" s="3" t="s">
        <v>6</v>
      </c>
      <c r="J56" s="4">
        <v>247</v>
      </c>
      <c r="K56" s="10">
        <v>76</v>
      </c>
    </row>
    <row r="57" spans="7:11" x14ac:dyDescent="0.3">
      <c r="G57" s="9">
        <v>45330.105266203704</v>
      </c>
      <c r="H57" s="3" t="s">
        <v>5</v>
      </c>
      <c r="I57" s="3" t="s">
        <v>6</v>
      </c>
      <c r="J57" s="4">
        <v>281</v>
      </c>
      <c r="K57" s="10">
        <v>50</v>
      </c>
    </row>
    <row r="58" spans="7:11" x14ac:dyDescent="0.3">
      <c r="G58" s="9">
        <v>45368.210520833331</v>
      </c>
      <c r="H58" s="3" t="s">
        <v>7</v>
      </c>
      <c r="I58" s="3" t="s">
        <v>6</v>
      </c>
      <c r="J58" s="4">
        <v>76</v>
      </c>
      <c r="K58" s="10">
        <v>63</v>
      </c>
    </row>
    <row r="59" spans="7:11" x14ac:dyDescent="0.3">
      <c r="G59" s="9">
        <v>45387.263159722221</v>
      </c>
      <c r="H59" s="3" t="s">
        <v>7</v>
      </c>
      <c r="I59" s="3" t="s">
        <v>6</v>
      </c>
      <c r="J59" s="4">
        <v>205</v>
      </c>
      <c r="K59" s="10">
        <v>23</v>
      </c>
    </row>
    <row r="60" spans="7:11" x14ac:dyDescent="0.3">
      <c r="G60" s="9">
        <v>45406.315787037034</v>
      </c>
      <c r="H60" s="3" t="s">
        <v>10</v>
      </c>
      <c r="I60" s="3" t="s">
        <v>6</v>
      </c>
      <c r="J60" s="4">
        <v>467</v>
      </c>
      <c r="K60" s="10">
        <v>97</v>
      </c>
    </row>
    <row r="61" spans="7:11" x14ac:dyDescent="0.3">
      <c r="G61" s="9">
        <v>45415.842106481483</v>
      </c>
      <c r="H61" s="3" t="s">
        <v>5</v>
      </c>
      <c r="I61" s="3" t="s">
        <v>6</v>
      </c>
      <c r="J61" s="4">
        <v>380</v>
      </c>
      <c r="K61" s="10">
        <v>92</v>
      </c>
    </row>
    <row r="62" spans="7:11" x14ac:dyDescent="0.3">
      <c r="G62" s="9">
        <v>45434.894733796296</v>
      </c>
      <c r="H62" s="3" t="s">
        <v>7</v>
      </c>
      <c r="I62" s="3" t="s">
        <v>6</v>
      </c>
      <c r="J62" s="4">
        <v>409</v>
      </c>
      <c r="K62" s="10">
        <v>81</v>
      </c>
    </row>
    <row r="63" spans="7:11" x14ac:dyDescent="0.3">
      <c r="G63" s="9">
        <v>45301.526319444441</v>
      </c>
      <c r="H63" s="3" t="s">
        <v>7</v>
      </c>
      <c r="I63" s="3" t="s">
        <v>8</v>
      </c>
      <c r="J63" s="4">
        <v>348</v>
      </c>
      <c r="K63" s="10">
        <v>56</v>
      </c>
    </row>
    <row r="64" spans="7:11" x14ac:dyDescent="0.3">
      <c r="G64" s="9">
        <v>45339.631574074076</v>
      </c>
      <c r="H64" s="3" t="s">
        <v>5</v>
      </c>
      <c r="I64" s="3" t="s">
        <v>8</v>
      </c>
      <c r="J64" s="4">
        <v>334</v>
      </c>
      <c r="K64" s="10">
        <v>52</v>
      </c>
    </row>
    <row r="65" spans="7:11" x14ac:dyDescent="0.3">
      <c r="G65" s="9">
        <v>45377.736840277779</v>
      </c>
      <c r="H65" s="3" t="s">
        <v>5</v>
      </c>
      <c r="I65" s="3" t="s">
        <v>8</v>
      </c>
      <c r="J65" s="4">
        <v>441</v>
      </c>
      <c r="K65" s="10">
        <v>79</v>
      </c>
    </row>
    <row r="66" spans="7:11" x14ac:dyDescent="0.3">
      <c r="G66" s="9">
        <v>45396.789479166669</v>
      </c>
      <c r="H66" s="3" t="s">
        <v>5</v>
      </c>
      <c r="I66" s="3" t="s">
        <v>8</v>
      </c>
      <c r="J66" s="4">
        <v>483</v>
      </c>
      <c r="K66" s="10">
        <v>97</v>
      </c>
    </row>
    <row r="67" spans="7:11" x14ac:dyDescent="0.3">
      <c r="G67" s="9">
        <v>45425.368425925924</v>
      </c>
      <c r="H67" s="3" t="s">
        <v>7</v>
      </c>
      <c r="I67" s="3" t="s">
        <v>8</v>
      </c>
      <c r="J67" s="4">
        <v>497</v>
      </c>
      <c r="K67" s="10">
        <v>71</v>
      </c>
    </row>
    <row r="68" spans="7:11" x14ac:dyDescent="0.3">
      <c r="G68" s="9">
        <v>45444.421053240738</v>
      </c>
      <c r="H68" s="3" t="s">
        <v>5</v>
      </c>
      <c r="I68" s="3" t="s">
        <v>8</v>
      </c>
      <c r="J68" s="4">
        <v>53</v>
      </c>
      <c r="K68" s="10">
        <v>45</v>
      </c>
    </row>
    <row r="69" spans="7:11" x14ac:dyDescent="0.3">
      <c r="G69" s="14">
        <v>45463.473680555559</v>
      </c>
      <c r="H69" s="15" t="s">
        <v>11</v>
      </c>
      <c r="I69" s="15" t="s">
        <v>8</v>
      </c>
      <c r="J69" s="16">
        <v>347</v>
      </c>
      <c r="K69" s="17">
        <v>35</v>
      </c>
    </row>
    <row r="71" spans="7:11" x14ac:dyDescent="0.3">
      <c r="G71" s="28" t="s">
        <v>30</v>
      </c>
      <c r="H71" s="28"/>
      <c r="I71" s="28"/>
    </row>
    <row r="73" spans="7:11" x14ac:dyDescent="0.3">
      <c r="G73" s="1" t="s">
        <v>0</v>
      </c>
      <c r="H73" s="1" t="s">
        <v>1</v>
      </c>
      <c r="I73" s="1" t="s">
        <v>2</v>
      </c>
      <c r="J73" s="1" t="s">
        <v>3</v>
      </c>
      <c r="K73" s="1" t="s">
        <v>4</v>
      </c>
    </row>
    <row r="74" spans="7:11" x14ac:dyDescent="0.3">
      <c r="G74" s="2">
        <v>45292</v>
      </c>
      <c r="H74" s="3" t="s">
        <v>5</v>
      </c>
      <c r="I74" s="3" t="s">
        <v>6</v>
      </c>
      <c r="J74" s="4">
        <v>456</v>
      </c>
      <c r="K74" s="4">
        <v>93</v>
      </c>
    </row>
    <row r="75" spans="7:11" x14ac:dyDescent="0.3">
      <c r="G75" s="2">
        <v>45301.526319444441</v>
      </c>
      <c r="H75" s="3" t="s">
        <v>7</v>
      </c>
      <c r="I75" s="3" t="s">
        <v>8</v>
      </c>
      <c r="J75" s="4">
        <v>348</v>
      </c>
      <c r="K75" s="4">
        <v>56</v>
      </c>
    </row>
    <row r="76" spans="7:11" hidden="1" x14ac:dyDescent="0.3">
      <c r="G76" s="2">
        <v>45311.052627314813</v>
      </c>
      <c r="H76" s="3" t="s">
        <v>7</v>
      </c>
      <c r="I76" s="3" t="s">
        <v>6</v>
      </c>
      <c r="J76" s="4">
        <v>247</v>
      </c>
      <c r="K76" s="4">
        <v>76</v>
      </c>
    </row>
    <row r="77" spans="7:11" hidden="1" x14ac:dyDescent="0.3">
      <c r="G77" s="2">
        <v>45320.578946759262</v>
      </c>
      <c r="H77" s="3" t="s">
        <v>5</v>
      </c>
      <c r="I77" s="3" t="s">
        <v>9</v>
      </c>
      <c r="J77" s="4">
        <v>230</v>
      </c>
      <c r="K77" s="4">
        <v>37</v>
      </c>
    </row>
    <row r="78" spans="7:11" hidden="1" x14ac:dyDescent="0.3">
      <c r="G78" s="2">
        <v>45330.105266203704</v>
      </c>
      <c r="H78" s="3" t="s">
        <v>5</v>
      </c>
      <c r="I78" s="3" t="s">
        <v>6</v>
      </c>
      <c r="J78" s="4">
        <v>281</v>
      </c>
      <c r="K78" s="4">
        <v>50</v>
      </c>
    </row>
    <row r="79" spans="7:11" x14ac:dyDescent="0.3">
      <c r="G79" s="2">
        <v>45339.631574074076</v>
      </c>
      <c r="H79" s="3" t="s">
        <v>5</v>
      </c>
      <c r="I79" s="3" t="s">
        <v>8</v>
      </c>
      <c r="J79" s="4">
        <v>334</v>
      </c>
      <c r="K79" s="4">
        <v>52</v>
      </c>
    </row>
    <row r="80" spans="7:11" x14ac:dyDescent="0.3">
      <c r="G80" s="2">
        <v>45349.157893518517</v>
      </c>
      <c r="H80" s="3" t="s">
        <v>7</v>
      </c>
      <c r="I80" s="3" t="s">
        <v>9</v>
      </c>
      <c r="J80" s="4">
        <v>417</v>
      </c>
      <c r="K80" s="4">
        <v>29</v>
      </c>
    </row>
    <row r="81" spans="7:11" x14ac:dyDescent="0.3">
      <c r="G81" s="2">
        <v>45358.684212962966</v>
      </c>
      <c r="H81" s="3" t="s">
        <v>5</v>
      </c>
      <c r="I81" s="3" t="s">
        <v>9</v>
      </c>
      <c r="J81" s="4">
        <v>441</v>
      </c>
      <c r="K81" s="4">
        <v>44</v>
      </c>
    </row>
    <row r="82" spans="7:11" hidden="1" x14ac:dyDescent="0.3">
      <c r="G82" s="2">
        <v>45368.210520833331</v>
      </c>
      <c r="H82" s="3" t="s">
        <v>7</v>
      </c>
      <c r="I82" s="3" t="s">
        <v>6</v>
      </c>
      <c r="J82" s="4">
        <v>76</v>
      </c>
      <c r="K82" s="4">
        <v>63</v>
      </c>
    </row>
    <row r="83" spans="7:11" x14ac:dyDescent="0.3">
      <c r="G83" s="2">
        <v>45377.736840277779</v>
      </c>
      <c r="H83" s="3" t="s">
        <v>5</v>
      </c>
      <c r="I83" s="3" t="s">
        <v>8</v>
      </c>
      <c r="J83" s="4">
        <v>441</v>
      </c>
      <c r="K83" s="4">
        <v>79</v>
      </c>
    </row>
    <row r="84" spans="7:11" hidden="1" x14ac:dyDescent="0.3">
      <c r="G84" s="2">
        <v>45387.263159722221</v>
      </c>
      <c r="H84" s="3" t="s">
        <v>7</v>
      </c>
      <c r="I84" s="3" t="s">
        <v>6</v>
      </c>
      <c r="J84" s="4">
        <v>205</v>
      </c>
      <c r="K84" s="4">
        <v>23</v>
      </c>
    </row>
    <row r="85" spans="7:11" x14ac:dyDescent="0.3">
      <c r="G85" s="2">
        <v>45396.789479166669</v>
      </c>
      <c r="H85" s="3" t="s">
        <v>5</v>
      </c>
      <c r="I85" s="3" t="s">
        <v>8</v>
      </c>
      <c r="J85" s="4">
        <v>483</v>
      </c>
      <c r="K85" s="4">
        <v>97</v>
      </c>
    </row>
    <row r="86" spans="7:11" x14ac:dyDescent="0.3">
      <c r="G86" s="2">
        <v>45406.315787037034</v>
      </c>
      <c r="H86" s="3" t="s">
        <v>10</v>
      </c>
      <c r="I86" s="3" t="s">
        <v>6</v>
      </c>
      <c r="J86" s="4">
        <v>467</v>
      </c>
      <c r="K86" s="4">
        <v>97</v>
      </c>
    </row>
    <row r="87" spans="7:11" x14ac:dyDescent="0.3">
      <c r="G87" s="2">
        <v>45415.842106481483</v>
      </c>
      <c r="H87" s="3" t="s">
        <v>5</v>
      </c>
      <c r="I87" s="3" t="s">
        <v>6</v>
      </c>
      <c r="J87" s="4">
        <v>380</v>
      </c>
      <c r="K87" s="4">
        <v>92</v>
      </c>
    </row>
    <row r="88" spans="7:11" x14ac:dyDescent="0.3">
      <c r="G88" s="2">
        <v>45425.368425925924</v>
      </c>
      <c r="H88" s="3" t="s">
        <v>7</v>
      </c>
      <c r="I88" s="3" t="s">
        <v>8</v>
      </c>
      <c r="J88" s="4">
        <v>497</v>
      </c>
      <c r="K88" s="4">
        <v>71</v>
      </c>
    </row>
    <row r="89" spans="7:11" x14ac:dyDescent="0.3">
      <c r="G89" s="2">
        <v>45434.894733796296</v>
      </c>
      <c r="H89" s="3" t="s">
        <v>7</v>
      </c>
      <c r="I89" s="3" t="s">
        <v>6</v>
      </c>
      <c r="J89" s="4">
        <v>409</v>
      </c>
      <c r="K89" s="4">
        <v>81</v>
      </c>
    </row>
    <row r="90" spans="7:11" hidden="1" x14ac:dyDescent="0.3">
      <c r="G90" s="2">
        <v>45444.421053240738</v>
      </c>
      <c r="H90" s="3" t="s">
        <v>5</v>
      </c>
      <c r="I90" s="3" t="s">
        <v>8</v>
      </c>
      <c r="J90" s="4">
        <v>53</v>
      </c>
      <c r="K90" s="4">
        <v>45</v>
      </c>
    </row>
    <row r="91" spans="7:11" x14ac:dyDescent="0.3">
      <c r="G91" s="2">
        <v>45453.947372685187</v>
      </c>
      <c r="H91" s="3" t="s">
        <v>5</v>
      </c>
      <c r="I91" s="3" t="s">
        <v>9</v>
      </c>
      <c r="J91" s="4">
        <v>398</v>
      </c>
      <c r="K91" s="4">
        <v>33</v>
      </c>
    </row>
    <row r="92" spans="7:11" x14ac:dyDescent="0.3">
      <c r="G92" s="2">
        <v>45463.473680555559</v>
      </c>
      <c r="H92" s="3" t="s">
        <v>11</v>
      </c>
      <c r="I92" s="3" t="s">
        <v>8</v>
      </c>
      <c r="J92" s="4">
        <v>347</v>
      </c>
      <c r="K92" s="4">
        <v>35</v>
      </c>
    </row>
    <row r="93" spans="7:11" x14ac:dyDescent="0.3">
      <c r="G93" s="2">
        <v>45473</v>
      </c>
      <c r="H93" s="3" t="s">
        <v>7</v>
      </c>
      <c r="I93" s="3" t="s">
        <v>9</v>
      </c>
      <c r="J93" s="4">
        <v>319</v>
      </c>
      <c r="K93" s="4">
        <v>45</v>
      </c>
    </row>
    <row r="94" spans="7:11" x14ac:dyDescent="0.3">
      <c r="G94" t="s">
        <v>31</v>
      </c>
    </row>
    <row r="96" spans="7:11" x14ac:dyDescent="0.3">
      <c r="G96" s="29" t="s">
        <v>33</v>
      </c>
      <c r="H96" s="29"/>
      <c r="I96" s="29"/>
    </row>
    <row r="98" spans="6:10" x14ac:dyDescent="0.3">
      <c r="F98" t="s">
        <v>21</v>
      </c>
      <c r="G98" s="7" t="s">
        <v>22</v>
      </c>
      <c r="H98" t="s">
        <v>24</v>
      </c>
    </row>
    <row r="99" spans="6:10" x14ac:dyDescent="0.3">
      <c r="G99" s="8" t="s">
        <v>35</v>
      </c>
      <c r="H99">
        <v>1281</v>
      </c>
    </row>
    <row r="100" spans="6:10" x14ac:dyDescent="0.3">
      <c r="G100" s="8" t="s">
        <v>36</v>
      </c>
      <c r="H100">
        <v>1032</v>
      </c>
    </row>
    <row r="101" spans="6:10" x14ac:dyDescent="0.3">
      <c r="G101" s="8" t="s">
        <v>37</v>
      </c>
      <c r="H101">
        <v>958</v>
      </c>
    </row>
    <row r="102" spans="6:10" x14ac:dyDescent="0.3">
      <c r="G102" s="8" t="s">
        <v>38</v>
      </c>
      <c r="H102">
        <v>1155</v>
      </c>
    </row>
    <row r="103" spans="6:10" x14ac:dyDescent="0.3">
      <c r="G103" s="8" t="s">
        <v>39</v>
      </c>
      <c r="H103">
        <v>1286</v>
      </c>
    </row>
    <row r="104" spans="6:10" x14ac:dyDescent="0.3">
      <c r="G104" s="8" t="s">
        <v>40</v>
      </c>
      <c r="H104">
        <v>1117</v>
      </c>
    </row>
    <row r="105" spans="6:10" x14ac:dyDescent="0.3">
      <c r="G105" s="8" t="s">
        <v>23</v>
      </c>
      <c r="H105">
        <v>6829</v>
      </c>
    </row>
    <row r="112" spans="6:10" x14ac:dyDescent="0.3">
      <c r="G112" s="29" t="s">
        <v>41</v>
      </c>
      <c r="H112" s="29"/>
      <c r="I112" s="29"/>
      <c r="J112" s="29"/>
    </row>
    <row r="114" spans="4:11" x14ac:dyDescent="0.3">
      <c r="D114" s="27" t="s">
        <v>43</v>
      </c>
      <c r="E114" s="27"/>
      <c r="F114" s="27"/>
      <c r="G114" s="11" t="s">
        <v>0</v>
      </c>
      <c r="H114" s="12" t="s">
        <v>1</v>
      </c>
      <c r="I114" s="12" t="s">
        <v>2</v>
      </c>
      <c r="J114" s="12" t="s">
        <v>3</v>
      </c>
      <c r="K114" s="13" t="s">
        <v>4</v>
      </c>
    </row>
    <row r="115" spans="4:11" ht="14.4" hidden="1" customHeight="1" x14ac:dyDescent="0.3">
      <c r="D115" s="27"/>
      <c r="E115" s="27"/>
      <c r="F115" s="27"/>
      <c r="G115" s="9">
        <v>45292</v>
      </c>
      <c r="H115" s="3" t="s">
        <v>5</v>
      </c>
      <c r="I115" s="3" t="s">
        <v>6</v>
      </c>
      <c r="J115" s="4">
        <v>456</v>
      </c>
      <c r="K115" s="10">
        <v>93</v>
      </c>
    </row>
    <row r="116" spans="4:11" ht="14.4" hidden="1" customHeight="1" x14ac:dyDescent="0.3">
      <c r="D116" s="27"/>
      <c r="E116" s="27"/>
      <c r="F116" s="27"/>
      <c r="G116" s="9">
        <v>45301.526319444441</v>
      </c>
      <c r="H116" s="3" t="s">
        <v>7</v>
      </c>
      <c r="I116" s="3" t="s">
        <v>8</v>
      </c>
      <c r="J116" s="4">
        <v>348</v>
      </c>
      <c r="K116" s="10">
        <v>56</v>
      </c>
    </row>
    <row r="117" spans="4:11" ht="14.4" hidden="1" customHeight="1" x14ac:dyDescent="0.3">
      <c r="D117" s="27"/>
      <c r="E117" s="27"/>
      <c r="F117" s="27"/>
      <c r="G117" s="9">
        <v>45311.052627314813</v>
      </c>
      <c r="H117" s="3" t="s">
        <v>7</v>
      </c>
      <c r="I117" s="3" t="s">
        <v>6</v>
      </c>
      <c r="J117" s="4">
        <v>247</v>
      </c>
      <c r="K117" s="10">
        <v>76</v>
      </c>
    </row>
    <row r="118" spans="4:11" x14ac:dyDescent="0.3">
      <c r="D118" s="27"/>
      <c r="E118" s="27"/>
      <c r="F118" s="27"/>
      <c r="G118" s="9">
        <v>45320.578946759262</v>
      </c>
      <c r="H118" s="3" t="s">
        <v>5</v>
      </c>
      <c r="I118" s="3" t="s">
        <v>9</v>
      </c>
      <c r="J118" s="4">
        <v>230</v>
      </c>
      <c r="K118" s="10">
        <v>37</v>
      </c>
    </row>
    <row r="119" spans="4:11" hidden="1" x14ac:dyDescent="0.3">
      <c r="G119" s="9">
        <v>45330.105266203704</v>
      </c>
      <c r="H119" s="3" t="s">
        <v>5</v>
      </c>
      <c r="I119" s="3" t="s">
        <v>6</v>
      </c>
      <c r="J119" s="4">
        <v>281</v>
      </c>
      <c r="K119" s="10">
        <v>50</v>
      </c>
    </row>
    <row r="120" spans="4:11" hidden="1" x14ac:dyDescent="0.3">
      <c r="G120" s="9">
        <v>45339.631574074076</v>
      </c>
      <c r="H120" s="3" t="s">
        <v>5</v>
      </c>
      <c r="I120" s="3" t="s">
        <v>8</v>
      </c>
      <c r="J120" s="4">
        <v>334</v>
      </c>
      <c r="K120" s="10">
        <v>52</v>
      </c>
    </row>
    <row r="121" spans="4:11" x14ac:dyDescent="0.3">
      <c r="G121" s="9">
        <v>45349.157893518517</v>
      </c>
      <c r="H121" s="3" t="s">
        <v>7</v>
      </c>
      <c r="I121" s="3" t="s">
        <v>9</v>
      </c>
      <c r="J121" s="4">
        <v>417</v>
      </c>
      <c r="K121" s="10">
        <v>29</v>
      </c>
    </row>
    <row r="122" spans="4:11" x14ac:dyDescent="0.3">
      <c r="G122" s="9">
        <v>45358.684212962966</v>
      </c>
      <c r="H122" s="3" t="s">
        <v>5</v>
      </c>
      <c r="I122" s="3" t="s">
        <v>9</v>
      </c>
      <c r="J122" s="4">
        <v>441</v>
      </c>
      <c r="K122" s="10">
        <v>44</v>
      </c>
    </row>
    <row r="123" spans="4:11" hidden="1" x14ac:dyDescent="0.3">
      <c r="G123" s="9">
        <v>45368.210520833331</v>
      </c>
      <c r="H123" s="3" t="s">
        <v>7</v>
      </c>
      <c r="I123" s="3" t="s">
        <v>6</v>
      </c>
      <c r="J123" s="4">
        <v>76</v>
      </c>
      <c r="K123" s="10">
        <v>63</v>
      </c>
    </row>
    <row r="124" spans="4:11" hidden="1" x14ac:dyDescent="0.3">
      <c r="G124" s="9">
        <v>45377.736840277779</v>
      </c>
      <c r="H124" s="3" t="s">
        <v>5</v>
      </c>
      <c r="I124" s="3" t="s">
        <v>8</v>
      </c>
      <c r="J124" s="4">
        <v>441</v>
      </c>
      <c r="K124" s="10">
        <v>79</v>
      </c>
    </row>
    <row r="125" spans="4:11" hidden="1" x14ac:dyDescent="0.3">
      <c r="G125" s="9">
        <v>45387.263159722221</v>
      </c>
      <c r="H125" s="3" t="s">
        <v>7</v>
      </c>
      <c r="I125" s="3" t="s">
        <v>6</v>
      </c>
      <c r="J125" s="4">
        <v>205</v>
      </c>
      <c r="K125" s="10">
        <v>23</v>
      </c>
    </row>
    <row r="126" spans="4:11" hidden="1" x14ac:dyDescent="0.3">
      <c r="G126" s="9">
        <v>45396.789479166669</v>
      </c>
      <c r="H126" s="3" t="s">
        <v>5</v>
      </c>
      <c r="I126" s="3" t="s">
        <v>8</v>
      </c>
      <c r="J126" s="4">
        <v>483</v>
      </c>
      <c r="K126" s="10">
        <v>97</v>
      </c>
    </row>
    <row r="127" spans="4:11" hidden="1" x14ac:dyDescent="0.3">
      <c r="G127" s="9">
        <v>45406.315787037034</v>
      </c>
      <c r="H127" s="3" t="s">
        <v>10</v>
      </c>
      <c r="I127" s="3" t="s">
        <v>6</v>
      </c>
      <c r="J127" s="4">
        <v>467</v>
      </c>
      <c r="K127" s="10">
        <v>97</v>
      </c>
    </row>
    <row r="128" spans="4:11" hidden="1" x14ac:dyDescent="0.3">
      <c r="G128" s="9">
        <v>45415.842106481483</v>
      </c>
      <c r="H128" s="3" t="s">
        <v>5</v>
      </c>
      <c r="I128" s="3" t="s">
        <v>6</v>
      </c>
      <c r="J128" s="4">
        <v>380</v>
      </c>
      <c r="K128" s="10">
        <v>92</v>
      </c>
    </row>
    <row r="129" spans="1:11" hidden="1" x14ac:dyDescent="0.3">
      <c r="G129" s="9">
        <v>45425.368425925924</v>
      </c>
      <c r="H129" s="3" t="s">
        <v>7</v>
      </c>
      <c r="I129" s="3" t="s">
        <v>8</v>
      </c>
      <c r="J129" s="4">
        <v>497</v>
      </c>
      <c r="K129" s="10">
        <v>71</v>
      </c>
    </row>
    <row r="130" spans="1:11" hidden="1" x14ac:dyDescent="0.3">
      <c r="G130" s="9">
        <v>45434.894733796296</v>
      </c>
      <c r="H130" s="3" t="s">
        <v>7</v>
      </c>
      <c r="I130" s="3" t="s">
        <v>6</v>
      </c>
      <c r="J130" s="4">
        <v>409</v>
      </c>
      <c r="K130" s="10">
        <v>81</v>
      </c>
    </row>
    <row r="131" spans="1:11" hidden="1" x14ac:dyDescent="0.3">
      <c r="G131" s="9">
        <v>45444.421053240738</v>
      </c>
      <c r="H131" s="3" t="s">
        <v>5</v>
      </c>
      <c r="I131" s="3" t="s">
        <v>8</v>
      </c>
      <c r="J131" s="4">
        <v>53</v>
      </c>
      <c r="K131" s="10">
        <v>45</v>
      </c>
    </row>
    <row r="132" spans="1:11" x14ac:dyDescent="0.3">
      <c r="G132" s="9">
        <v>45453.947372685187</v>
      </c>
      <c r="H132" s="3" t="s">
        <v>5</v>
      </c>
      <c r="I132" s="3" t="s">
        <v>9</v>
      </c>
      <c r="J132" s="4">
        <v>398</v>
      </c>
      <c r="K132" s="10">
        <v>33</v>
      </c>
    </row>
    <row r="133" spans="1:11" hidden="1" x14ac:dyDescent="0.3">
      <c r="G133" s="9">
        <v>45463.473680555559</v>
      </c>
      <c r="H133" s="3" t="s">
        <v>11</v>
      </c>
      <c r="I133" s="3" t="s">
        <v>8</v>
      </c>
      <c r="J133" s="4">
        <v>347</v>
      </c>
      <c r="K133" s="10">
        <v>35</v>
      </c>
    </row>
    <row r="134" spans="1:11" x14ac:dyDescent="0.3">
      <c r="G134" s="14">
        <v>45473</v>
      </c>
      <c r="H134" s="15" t="s">
        <v>7</v>
      </c>
      <c r="I134" s="15" t="s">
        <v>9</v>
      </c>
      <c r="J134" s="16">
        <v>319</v>
      </c>
      <c r="K134" s="17">
        <v>45</v>
      </c>
    </row>
    <row r="136" spans="1:11" x14ac:dyDescent="0.3">
      <c r="F136" s="30" t="s">
        <v>42</v>
      </c>
      <c r="G136" s="30"/>
    </row>
    <row r="138" spans="1:11" x14ac:dyDescent="0.3">
      <c r="G138" s="29" t="s">
        <v>44</v>
      </c>
      <c r="H138" s="29"/>
      <c r="I138" s="29"/>
      <c r="J138" s="29"/>
      <c r="K138" s="29"/>
    </row>
    <row r="139" spans="1:11" x14ac:dyDescent="0.3">
      <c r="G139" t="s">
        <v>45</v>
      </c>
    </row>
    <row r="140" spans="1:11" x14ac:dyDescent="0.3">
      <c r="G140" t="s">
        <v>46</v>
      </c>
    </row>
    <row r="142" spans="1:11" ht="15" customHeight="1" x14ac:dyDescent="0.3">
      <c r="G142" s="32" t="s">
        <v>47</v>
      </c>
      <c r="H142" s="32"/>
      <c r="I142" s="32"/>
      <c r="J142" s="32"/>
    </row>
    <row r="143" spans="1:11" x14ac:dyDescent="0.3">
      <c r="A143" s="11" t="s">
        <v>0</v>
      </c>
      <c r="B143" s="12" t="s">
        <v>1</v>
      </c>
      <c r="C143" s="12" t="s">
        <v>2</v>
      </c>
      <c r="D143" s="12" t="s">
        <v>3</v>
      </c>
      <c r="E143" s="13" t="s">
        <v>4</v>
      </c>
      <c r="G143" s="29" t="s">
        <v>50</v>
      </c>
      <c r="H143" s="29"/>
      <c r="I143" s="29"/>
    </row>
    <row r="144" spans="1:11" x14ac:dyDescent="0.3">
      <c r="A144" s="9">
        <v>45292</v>
      </c>
      <c r="B144" s="3" t="s">
        <v>5</v>
      </c>
      <c r="C144" s="3" t="s">
        <v>6</v>
      </c>
      <c r="D144" s="4">
        <v>456</v>
      </c>
      <c r="E144" s="10">
        <v>93</v>
      </c>
      <c r="G144" s="29" t="s">
        <v>48</v>
      </c>
      <c r="H144" s="29"/>
      <c r="I144" s="29"/>
    </row>
    <row r="145" spans="1:22" x14ac:dyDescent="0.3">
      <c r="A145" s="9">
        <v>45301.526319444441</v>
      </c>
      <c r="B145" s="3" t="s">
        <v>7</v>
      </c>
      <c r="C145" s="3" t="s">
        <v>8</v>
      </c>
      <c r="D145" s="4">
        <v>348</v>
      </c>
      <c r="E145" s="10">
        <v>56</v>
      </c>
      <c r="G145" s="29" t="s">
        <v>49</v>
      </c>
      <c r="H145" s="29"/>
      <c r="I145" s="29"/>
    </row>
    <row r="146" spans="1:22" x14ac:dyDescent="0.3">
      <c r="A146" s="9">
        <v>45311.052627314813</v>
      </c>
      <c r="B146" s="3" t="s">
        <v>7</v>
      </c>
      <c r="C146" s="3" t="s">
        <v>6</v>
      </c>
      <c r="D146" s="4">
        <v>247</v>
      </c>
      <c r="E146" s="10">
        <v>76</v>
      </c>
      <c r="G146" s="19"/>
      <c r="H146" s="19"/>
      <c r="I146" s="19"/>
      <c r="J146" s="19"/>
      <c r="K146" s="19"/>
      <c r="L146" s="19"/>
      <c r="M146" s="19"/>
      <c r="N146" s="19"/>
      <c r="O146" s="19"/>
      <c r="P146" s="19"/>
      <c r="Q146" s="19"/>
      <c r="R146" s="19"/>
      <c r="S146" s="19"/>
      <c r="T146" s="19"/>
      <c r="U146" s="19"/>
      <c r="V146" s="19"/>
    </row>
    <row r="147" spans="1:22" x14ac:dyDescent="0.3">
      <c r="A147" s="9">
        <v>45320.578946759262</v>
      </c>
      <c r="B147" s="3" t="s">
        <v>5</v>
      </c>
      <c r="C147" s="3" t="s">
        <v>9</v>
      </c>
      <c r="D147" s="4">
        <v>230</v>
      </c>
      <c r="E147" s="10">
        <v>37</v>
      </c>
      <c r="F147" t="s">
        <v>21</v>
      </c>
      <c r="G147" s="18" t="s">
        <v>22</v>
      </c>
      <c r="H147" s="18" t="s">
        <v>24</v>
      </c>
      <c r="I147" s="19"/>
      <c r="J147" s="19"/>
      <c r="K147" s="19"/>
      <c r="L147" s="19"/>
      <c r="M147" s="19"/>
      <c r="N147" s="19"/>
      <c r="O147" s="19"/>
      <c r="P147" s="19"/>
      <c r="Q147" s="19"/>
      <c r="R147" s="19"/>
      <c r="S147" s="19"/>
      <c r="T147" s="19"/>
      <c r="U147" s="19"/>
      <c r="V147" s="19"/>
    </row>
    <row r="148" spans="1:22" x14ac:dyDescent="0.3">
      <c r="A148" s="9">
        <v>45330.105266203704</v>
      </c>
      <c r="B148" s="3" t="s">
        <v>5</v>
      </c>
      <c r="C148" s="3" t="s">
        <v>6</v>
      </c>
      <c r="D148" s="4">
        <v>281</v>
      </c>
      <c r="E148" s="10">
        <v>50</v>
      </c>
      <c r="G148" s="20" t="s">
        <v>10</v>
      </c>
      <c r="H148" s="18">
        <v>467</v>
      </c>
      <c r="I148" s="19"/>
      <c r="J148" s="19"/>
      <c r="K148" s="19"/>
      <c r="L148" s="19"/>
      <c r="M148" s="19"/>
      <c r="N148" s="19"/>
      <c r="O148" s="19"/>
      <c r="P148" s="19"/>
      <c r="Q148" s="19"/>
      <c r="R148" s="19"/>
      <c r="S148" s="19"/>
      <c r="T148" s="19"/>
      <c r="U148" s="19"/>
      <c r="V148" s="19"/>
    </row>
    <row r="149" spans="1:22" x14ac:dyDescent="0.3">
      <c r="A149" s="9">
        <v>45339.631574074076</v>
      </c>
      <c r="B149" s="3" t="s">
        <v>5</v>
      </c>
      <c r="C149" s="3" t="s">
        <v>8</v>
      </c>
      <c r="D149" s="4">
        <v>334</v>
      </c>
      <c r="E149" s="10">
        <v>52</v>
      </c>
      <c r="G149" s="20" t="s">
        <v>11</v>
      </c>
      <c r="H149" s="18">
        <v>347</v>
      </c>
      <c r="I149" s="19"/>
      <c r="J149" s="19"/>
      <c r="K149" s="19"/>
      <c r="L149" s="19"/>
      <c r="M149" s="19"/>
      <c r="N149" s="19"/>
      <c r="O149" s="19"/>
      <c r="P149" s="19"/>
      <c r="Q149" s="19"/>
      <c r="R149" s="19"/>
      <c r="S149" s="19"/>
      <c r="T149" s="19"/>
      <c r="U149" s="19"/>
      <c r="V149" s="19"/>
    </row>
    <row r="150" spans="1:22" x14ac:dyDescent="0.3">
      <c r="A150" s="9">
        <v>45349.157893518517</v>
      </c>
      <c r="B150" s="3" t="s">
        <v>7</v>
      </c>
      <c r="C150" s="3" t="s">
        <v>9</v>
      </c>
      <c r="D150" s="4">
        <v>417</v>
      </c>
      <c r="E150" s="10">
        <v>29</v>
      </c>
      <c r="G150" s="20" t="s">
        <v>7</v>
      </c>
      <c r="H150" s="18">
        <v>2518</v>
      </c>
      <c r="I150" s="19"/>
      <c r="J150" s="19"/>
      <c r="K150" s="19"/>
      <c r="L150" s="19"/>
      <c r="M150" s="19"/>
      <c r="N150" s="19"/>
      <c r="O150" s="19"/>
      <c r="P150" s="19"/>
      <c r="Q150" s="19"/>
      <c r="R150" s="19"/>
      <c r="S150" s="19"/>
      <c r="T150" s="19"/>
      <c r="U150" s="19"/>
      <c r="V150" s="19"/>
    </row>
    <row r="151" spans="1:22" x14ac:dyDescent="0.3">
      <c r="A151" s="9">
        <v>45358.684212962966</v>
      </c>
      <c r="B151" s="3" t="s">
        <v>5</v>
      </c>
      <c r="C151" s="3" t="s">
        <v>9</v>
      </c>
      <c r="D151" s="4">
        <v>441</v>
      </c>
      <c r="E151" s="10">
        <v>44</v>
      </c>
      <c r="G151" s="20" t="s">
        <v>5</v>
      </c>
      <c r="H151" s="18">
        <v>3497</v>
      </c>
      <c r="I151" s="19"/>
      <c r="J151" s="19"/>
      <c r="K151" s="19"/>
      <c r="L151" s="19"/>
      <c r="M151" s="19"/>
      <c r="N151" s="19"/>
      <c r="O151" s="19"/>
      <c r="P151" s="19"/>
      <c r="Q151" s="19"/>
      <c r="R151" s="19"/>
      <c r="S151" s="19"/>
      <c r="T151" s="19"/>
      <c r="U151" s="19"/>
      <c r="V151" s="19"/>
    </row>
    <row r="152" spans="1:22" x14ac:dyDescent="0.3">
      <c r="A152" s="9">
        <v>45368.210520833331</v>
      </c>
      <c r="B152" s="3" t="s">
        <v>7</v>
      </c>
      <c r="C152" s="3" t="s">
        <v>6</v>
      </c>
      <c r="D152" s="4">
        <v>76</v>
      </c>
      <c r="E152" s="10">
        <v>63</v>
      </c>
      <c r="G152" s="20" t="s">
        <v>23</v>
      </c>
      <c r="H152" s="18">
        <v>6829</v>
      </c>
      <c r="I152" s="19"/>
      <c r="J152" s="19"/>
      <c r="K152" s="19"/>
      <c r="L152" s="19"/>
      <c r="M152" s="19"/>
      <c r="N152" s="19"/>
      <c r="O152" s="19"/>
      <c r="P152" s="19"/>
      <c r="Q152" s="19"/>
      <c r="R152" s="19"/>
      <c r="S152" s="19"/>
      <c r="T152" s="19"/>
      <c r="U152" s="19"/>
      <c r="V152" s="19"/>
    </row>
    <row r="153" spans="1:22" x14ac:dyDescent="0.3">
      <c r="A153" s="9">
        <v>45377.736840277779</v>
      </c>
      <c r="B153" s="3" t="s">
        <v>5</v>
      </c>
      <c r="C153" s="3" t="s">
        <v>8</v>
      </c>
      <c r="D153" s="4">
        <v>441</v>
      </c>
      <c r="E153" s="10">
        <v>79</v>
      </c>
      <c r="G153" s="19"/>
      <c r="H153" s="19"/>
      <c r="I153" s="19"/>
      <c r="J153" s="19"/>
      <c r="K153" s="19"/>
      <c r="L153" s="19"/>
      <c r="M153" s="19"/>
      <c r="N153" s="19"/>
      <c r="O153" s="19"/>
      <c r="P153" s="19"/>
      <c r="Q153" s="19"/>
      <c r="R153" s="19"/>
      <c r="S153" s="19"/>
      <c r="T153" s="19"/>
      <c r="U153" s="19"/>
      <c r="V153" s="19"/>
    </row>
    <row r="154" spans="1:22" x14ac:dyDescent="0.3">
      <c r="A154" s="9">
        <v>45387.263159722221</v>
      </c>
      <c r="B154" s="3" t="s">
        <v>7</v>
      </c>
      <c r="C154" s="3" t="s">
        <v>6</v>
      </c>
      <c r="D154" s="4">
        <v>205</v>
      </c>
      <c r="E154" s="10">
        <v>23</v>
      </c>
      <c r="G154" s="19"/>
      <c r="H154" s="19"/>
      <c r="I154" s="19"/>
      <c r="J154" s="19"/>
      <c r="K154" s="19"/>
      <c r="L154" s="19"/>
      <c r="M154" s="19"/>
      <c r="N154" s="19"/>
      <c r="O154" s="19"/>
      <c r="P154" s="19"/>
      <c r="Q154" s="19"/>
      <c r="R154" s="19"/>
      <c r="S154" s="19"/>
      <c r="T154" s="19"/>
      <c r="U154" s="19"/>
      <c r="V154" s="19"/>
    </row>
    <row r="155" spans="1:22" x14ac:dyDescent="0.3">
      <c r="A155" s="9">
        <v>45396.789479166669</v>
      </c>
      <c r="B155" s="3" t="s">
        <v>5</v>
      </c>
      <c r="C155" s="3" t="s">
        <v>8</v>
      </c>
      <c r="D155" s="4">
        <v>483</v>
      </c>
      <c r="E155" s="10">
        <v>97</v>
      </c>
      <c r="G155" s="19"/>
      <c r="H155" s="19"/>
      <c r="I155" s="19"/>
      <c r="J155" s="19"/>
      <c r="K155" s="19"/>
      <c r="L155" s="19"/>
      <c r="M155" s="19"/>
      <c r="N155" s="19"/>
      <c r="O155" s="19"/>
      <c r="P155" s="19"/>
      <c r="Q155" s="19"/>
      <c r="R155" s="19"/>
      <c r="S155" s="19"/>
      <c r="T155" s="19"/>
      <c r="U155" s="19"/>
      <c r="V155" s="19"/>
    </row>
    <row r="156" spans="1:22" x14ac:dyDescent="0.3">
      <c r="A156" s="9">
        <v>45406.315787037034</v>
      </c>
      <c r="B156" s="3" t="s">
        <v>10</v>
      </c>
      <c r="C156" s="3" t="s">
        <v>6</v>
      </c>
      <c r="D156" s="4">
        <v>467</v>
      </c>
      <c r="E156" s="10">
        <v>97</v>
      </c>
      <c r="G156" s="19"/>
      <c r="H156" s="19"/>
      <c r="I156" s="19"/>
      <c r="J156" s="19"/>
      <c r="K156" s="19"/>
      <c r="L156" s="19"/>
      <c r="M156" s="19"/>
      <c r="N156" s="19"/>
      <c r="O156" s="19"/>
      <c r="P156" s="19"/>
      <c r="Q156" s="19"/>
      <c r="R156" s="19"/>
      <c r="S156" s="19"/>
      <c r="T156" s="19"/>
      <c r="U156" s="19"/>
      <c r="V156" s="19"/>
    </row>
    <row r="157" spans="1:22" x14ac:dyDescent="0.3">
      <c r="A157" s="9">
        <v>45415.842106481483</v>
      </c>
      <c r="B157" s="3" t="s">
        <v>5</v>
      </c>
      <c r="C157" s="3" t="s">
        <v>6</v>
      </c>
      <c r="D157" s="4">
        <v>380</v>
      </c>
      <c r="E157" s="10">
        <v>92</v>
      </c>
      <c r="G157" s="19"/>
      <c r="H157" s="19"/>
      <c r="I157" s="19"/>
      <c r="J157" s="19"/>
      <c r="K157" s="19"/>
      <c r="L157" s="19"/>
      <c r="M157" s="19"/>
      <c r="N157" s="19"/>
      <c r="O157" s="19"/>
      <c r="P157" s="19"/>
      <c r="Q157" s="19"/>
      <c r="R157" s="19"/>
      <c r="S157" s="19"/>
      <c r="T157" s="19"/>
      <c r="U157" s="19"/>
      <c r="V157" s="19"/>
    </row>
    <row r="158" spans="1:22" x14ac:dyDescent="0.3">
      <c r="A158" s="9">
        <v>45425.368425925924</v>
      </c>
      <c r="B158" s="3" t="s">
        <v>7</v>
      </c>
      <c r="C158" s="3" t="s">
        <v>8</v>
      </c>
      <c r="D158" s="4">
        <v>497</v>
      </c>
      <c r="E158" s="10">
        <v>71</v>
      </c>
      <c r="G158" s="19"/>
      <c r="H158" s="19"/>
      <c r="I158" s="19"/>
      <c r="J158" s="19"/>
      <c r="K158" s="19"/>
      <c r="L158" s="19"/>
      <c r="M158" s="19"/>
      <c r="N158" s="19"/>
      <c r="O158" s="19"/>
      <c r="P158" s="19"/>
      <c r="Q158" s="19"/>
      <c r="R158" s="19"/>
      <c r="S158" s="19"/>
      <c r="T158" s="19"/>
      <c r="U158" s="19"/>
      <c r="V158" s="19"/>
    </row>
    <row r="159" spans="1:22" x14ac:dyDescent="0.3">
      <c r="A159" s="9">
        <v>45434.894733796296</v>
      </c>
      <c r="B159" s="3" t="s">
        <v>7</v>
      </c>
      <c r="C159" s="3" t="s">
        <v>6</v>
      </c>
      <c r="D159" s="4">
        <v>409</v>
      </c>
      <c r="E159" s="10">
        <v>81</v>
      </c>
      <c r="G159" s="19"/>
      <c r="H159" s="19"/>
      <c r="I159" s="19"/>
      <c r="J159" s="19"/>
      <c r="K159" s="19"/>
      <c r="L159" s="19"/>
      <c r="M159" s="19"/>
      <c r="N159" s="19"/>
      <c r="O159" s="19"/>
      <c r="P159" s="19"/>
      <c r="Q159" s="19"/>
      <c r="R159" s="19"/>
      <c r="S159" s="19"/>
      <c r="T159" s="19"/>
      <c r="U159" s="19"/>
      <c r="V159" s="19"/>
    </row>
    <row r="160" spans="1:22" x14ac:dyDescent="0.3">
      <c r="A160" s="9">
        <v>45444.421053240738</v>
      </c>
      <c r="B160" s="3" t="s">
        <v>5</v>
      </c>
      <c r="C160" s="3" t="s">
        <v>8</v>
      </c>
      <c r="D160" s="4">
        <v>53</v>
      </c>
      <c r="E160" s="10">
        <v>45</v>
      </c>
      <c r="G160" s="19"/>
      <c r="H160" s="19"/>
      <c r="I160" s="19"/>
      <c r="J160" s="19"/>
      <c r="K160" s="19"/>
      <c r="L160" s="19"/>
      <c r="M160" s="19"/>
      <c r="N160" s="19"/>
      <c r="O160" s="19"/>
      <c r="P160" s="19"/>
      <c r="Q160" s="19"/>
      <c r="R160" s="19"/>
      <c r="S160" s="19"/>
      <c r="T160" s="19"/>
      <c r="U160" s="19"/>
      <c r="V160" s="19"/>
    </row>
    <row r="161" spans="1:22" x14ac:dyDescent="0.3">
      <c r="A161" s="9">
        <v>45453.947372685187</v>
      </c>
      <c r="B161" s="3" t="s">
        <v>5</v>
      </c>
      <c r="C161" s="3" t="s">
        <v>9</v>
      </c>
      <c r="D161" s="4">
        <v>398</v>
      </c>
      <c r="E161" s="10">
        <v>33</v>
      </c>
      <c r="G161" s="19"/>
      <c r="H161" s="19"/>
      <c r="I161" s="19"/>
      <c r="J161" s="19"/>
      <c r="K161" s="19"/>
      <c r="L161" s="19"/>
      <c r="M161" s="19"/>
      <c r="N161" s="19"/>
      <c r="O161" s="19"/>
      <c r="P161" s="19"/>
      <c r="Q161" s="19"/>
      <c r="R161" s="19"/>
      <c r="S161" s="19"/>
      <c r="T161" s="19"/>
      <c r="U161" s="19"/>
      <c r="V161" s="19"/>
    </row>
    <row r="162" spans="1:22" x14ac:dyDescent="0.3">
      <c r="A162" s="9">
        <v>45463.473680555559</v>
      </c>
      <c r="B162" s="3" t="s">
        <v>11</v>
      </c>
      <c r="C162" s="3" t="s">
        <v>8</v>
      </c>
      <c r="D162" s="4">
        <v>347</v>
      </c>
      <c r="E162" s="10">
        <v>35</v>
      </c>
      <c r="G162" s="19"/>
      <c r="H162" s="19"/>
      <c r="I162" s="19"/>
      <c r="J162" s="19"/>
      <c r="K162" s="19"/>
      <c r="L162" s="19"/>
      <c r="M162" s="19"/>
      <c r="N162" s="19"/>
      <c r="O162" s="19"/>
      <c r="P162" s="19"/>
      <c r="Q162" s="19"/>
      <c r="R162" s="19"/>
      <c r="S162" s="19"/>
      <c r="T162" s="19"/>
      <c r="U162" s="19"/>
      <c r="V162" s="19"/>
    </row>
    <row r="163" spans="1:22" x14ac:dyDescent="0.3">
      <c r="A163" s="14">
        <v>45473</v>
      </c>
      <c r="B163" s="15" t="s">
        <v>7</v>
      </c>
      <c r="C163" s="15" t="s">
        <v>9</v>
      </c>
      <c r="D163" s="16">
        <v>319</v>
      </c>
      <c r="E163" s="17">
        <v>45</v>
      </c>
      <c r="G163" s="19"/>
      <c r="H163" s="19"/>
      <c r="I163" s="19"/>
      <c r="J163" s="19"/>
      <c r="K163" s="19"/>
      <c r="L163" s="19"/>
      <c r="M163" s="19"/>
      <c r="N163" s="19"/>
      <c r="O163" s="19"/>
      <c r="P163" s="19"/>
      <c r="Q163" s="19"/>
      <c r="R163" s="19"/>
      <c r="S163" s="19"/>
      <c r="T163" s="19"/>
      <c r="U163" s="19"/>
      <c r="V163" s="19"/>
    </row>
    <row r="164" spans="1:22" x14ac:dyDescent="0.3">
      <c r="G164" s="19"/>
      <c r="H164" s="19"/>
      <c r="I164" s="19"/>
      <c r="J164" s="19"/>
      <c r="K164" s="19"/>
      <c r="L164" s="19"/>
      <c r="M164" s="19"/>
      <c r="N164" s="19"/>
      <c r="O164" s="19"/>
      <c r="P164" s="19"/>
      <c r="Q164" s="19"/>
      <c r="R164" s="19"/>
      <c r="S164" s="19"/>
      <c r="T164" s="19"/>
      <c r="U164" s="19"/>
      <c r="V164" s="19"/>
    </row>
    <row r="165" spans="1:22" x14ac:dyDescent="0.3">
      <c r="G165" s="19"/>
      <c r="H165" s="19"/>
      <c r="I165" s="19"/>
      <c r="J165" s="19"/>
      <c r="K165" s="19"/>
      <c r="L165" s="19"/>
      <c r="M165" s="19"/>
      <c r="N165" s="19"/>
      <c r="O165" s="19"/>
      <c r="P165" s="19"/>
      <c r="Q165" s="19"/>
      <c r="R165" s="19"/>
      <c r="S165" s="19"/>
      <c r="T165" s="19"/>
      <c r="U165" s="19"/>
      <c r="V165" s="19"/>
    </row>
    <row r="166" spans="1:22" x14ac:dyDescent="0.3">
      <c r="G166" s="19"/>
      <c r="H166" s="19"/>
      <c r="I166" s="19"/>
      <c r="J166" s="19"/>
      <c r="K166" s="19"/>
      <c r="L166" s="19"/>
      <c r="M166" s="19"/>
      <c r="N166" s="19"/>
      <c r="O166" s="19"/>
      <c r="P166" s="19"/>
      <c r="Q166" s="19"/>
      <c r="R166" s="19"/>
      <c r="S166" s="19"/>
      <c r="T166" s="19"/>
      <c r="U166" s="19"/>
      <c r="V166" s="19"/>
    </row>
    <row r="167" spans="1:22" x14ac:dyDescent="0.3">
      <c r="G167" s="19"/>
      <c r="H167" s="19"/>
      <c r="I167" s="18" t="s">
        <v>22</v>
      </c>
      <c r="J167" s="18" t="s">
        <v>24</v>
      </c>
      <c r="K167" s="19"/>
      <c r="L167" s="19"/>
      <c r="M167" s="19"/>
      <c r="N167" s="19"/>
      <c r="O167" s="19"/>
      <c r="P167" s="19"/>
      <c r="Q167" s="19"/>
      <c r="R167" s="19"/>
      <c r="S167" s="19"/>
      <c r="T167" s="19"/>
      <c r="U167" s="19"/>
      <c r="V167" s="19"/>
    </row>
    <row r="168" spans="1:22" x14ac:dyDescent="0.3">
      <c r="G168" s="19"/>
      <c r="H168" s="19"/>
      <c r="I168" s="20" t="s">
        <v>35</v>
      </c>
      <c r="J168" s="18">
        <v>1281</v>
      </c>
      <c r="K168" s="19"/>
      <c r="L168" s="19"/>
      <c r="M168" s="19"/>
      <c r="N168" s="19"/>
      <c r="O168" s="19"/>
      <c r="P168" s="19"/>
      <c r="Q168" s="19"/>
      <c r="R168" s="19"/>
      <c r="S168" s="19"/>
      <c r="T168" s="19"/>
      <c r="U168" s="19"/>
      <c r="V168" s="19"/>
    </row>
    <row r="169" spans="1:22" x14ac:dyDescent="0.3">
      <c r="G169" s="19"/>
      <c r="H169" s="19"/>
      <c r="I169" s="20" t="s">
        <v>36</v>
      </c>
      <c r="J169" s="18">
        <v>1032</v>
      </c>
      <c r="K169" s="19"/>
      <c r="L169" s="19"/>
      <c r="M169" s="19"/>
      <c r="N169" s="19"/>
      <c r="O169" s="19"/>
      <c r="P169" s="19"/>
      <c r="Q169" s="19"/>
      <c r="R169" s="19"/>
      <c r="S169" s="19"/>
      <c r="T169" s="19"/>
      <c r="U169" s="19"/>
      <c r="V169" s="19"/>
    </row>
    <row r="170" spans="1:22" x14ac:dyDescent="0.3">
      <c r="G170" s="19"/>
      <c r="H170" s="19"/>
      <c r="I170" s="20" t="s">
        <v>37</v>
      </c>
      <c r="J170" s="18">
        <v>958</v>
      </c>
      <c r="K170" s="19"/>
      <c r="L170" s="19"/>
      <c r="M170" s="19"/>
      <c r="N170" s="19"/>
      <c r="O170" s="19"/>
      <c r="P170" s="19"/>
      <c r="Q170" s="19"/>
      <c r="R170" s="19"/>
      <c r="S170" s="19"/>
      <c r="T170" s="19"/>
      <c r="U170" s="19"/>
      <c r="V170" s="19"/>
    </row>
    <row r="171" spans="1:22" x14ac:dyDescent="0.3">
      <c r="G171" s="19"/>
      <c r="H171" s="19"/>
      <c r="I171" s="20" t="s">
        <v>38</v>
      </c>
      <c r="J171" s="18">
        <v>1155</v>
      </c>
      <c r="K171" s="19"/>
      <c r="L171" s="19"/>
      <c r="M171" s="19"/>
      <c r="N171" s="19"/>
      <c r="O171" s="19"/>
      <c r="P171" s="19"/>
      <c r="Q171" s="19"/>
      <c r="R171" s="19"/>
      <c r="S171" s="19"/>
      <c r="T171" s="19"/>
      <c r="U171" s="19"/>
      <c r="V171" s="19"/>
    </row>
    <row r="172" spans="1:22" x14ac:dyDescent="0.3">
      <c r="G172" s="19"/>
      <c r="H172" s="19"/>
      <c r="I172" s="20" t="s">
        <v>39</v>
      </c>
      <c r="J172" s="18">
        <v>1286</v>
      </c>
      <c r="K172" s="19"/>
      <c r="L172" s="19"/>
      <c r="M172" s="19"/>
      <c r="N172" s="19"/>
      <c r="O172" s="19"/>
      <c r="P172" s="19"/>
      <c r="Q172" s="19"/>
      <c r="R172" s="19"/>
      <c r="S172" s="19"/>
      <c r="T172" s="19"/>
      <c r="U172" s="19"/>
      <c r="V172" s="19"/>
    </row>
    <row r="173" spans="1:22" x14ac:dyDescent="0.3">
      <c r="G173" s="19"/>
      <c r="H173" s="19"/>
      <c r="I173" s="20" t="s">
        <v>40</v>
      </c>
      <c r="J173" s="18">
        <v>1117</v>
      </c>
      <c r="K173" s="19"/>
      <c r="L173" s="19"/>
      <c r="M173" s="19"/>
      <c r="N173" s="19"/>
      <c r="O173" s="19"/>
      <c r="P173" s="19"/>
      <c r="Q173" s="19"/>
      <c r="R173" s="19"/>
      <c r="S173" s="19"/>
      <c r="T173" s="19"/>
      <c r="U173" s="19"/>
      <c r="V173" s="19"/>
    </row>
    <row r="174" spans="1:22" x14ac:dyDescent="0.3">
      <c r="G174" s="19"/>
      <c r="H174" s="19"/>
      <c r="I174" s="20" t="s">
        <v>23</v>
      </c>
      <c r="J174" s="18">
        <v>6829</v>
      </c>
      <c r="K174" s="19"/>
      <c r="L174" s="19"/>
      <c r="M174" s="19"/>
      <c r="N174" s="19"/>
      <c r="O174" s="19"/>
      <c r="P174" s="19"/>
      <c r="Q174" s="19"/>
      <c r="R174" s="19"/>
      <c r="S174" s="19"/>
      <c r="T174" s="19"/>
      <c r="U174" s="19"/>
      <c r="V174" s="19"/>
    </row>
    <row r="175" spans="1:22" x14ac:dyDescent="0.3">
      <c r="G175" s="19"/>
      <c r="H175" s="19"/>
      <c r="I175" s="19"/>
      <c r="J175" s="19"/>
      <c r="K175" s="19"/>
      <c r="L175" s="19"/>
      <c r="M175" s="19"/>
      <c r="N175" s="19"/>
      <c r="O175" s="19"/>
      <c r="P175" s="19"/>
      <c r="Q175" s="19"/>
      <c r="R175" s="19"/>
      <c r="S175" s="19"/>
      <c r="T175" s="19"/>
      <c r="U175" s="19"/>
      <c r="V175" s="19"/>
    </row>
    <row r="176" spans="1:22" x14ac:dyDescent="0.3">
      <c r="G176" s="19"/>
      <c r="H176" s="19"/>
      <c r="I176" s="19"/>
      <c r="J176" s="19"/>
      <c r="K176" s="19"/>
      <c r="L176" s="19"/>
      <c r="M176" s="19"/>
      <c r="N176" s="19"/>
      <c r="O176" s="19"/>
      <c r="P176" s="19"/>
      <c r="Q176" s="19"/>
      <c r="R176" s="19"/>
      <c r="S176" s="19"/>
      <c r="T176" s="19"/>
      <c r="U176" s="19"/>
      <c r="V176" s="19"/>
    </row>
    <row r="177" spans="6:22" x14ac:dyDescent="0.3">
      <c r="G177" s="19"/>
      <c r="H177" s="19"/>
      <c r="I177" s="19"/>
      <c r="J177" s="19"/>
      <c r="K177" s="19"/>
      <c r="L177" s="19"/>
      <c r="M177" s="19"/>
      <c r="N177" s="19"/>
      <c r="O177" s="19"/>
      <c r="P177" s="19"/>
      <c r="Q177" s="19"/>
      <c r="R177" s="19"/>
      <c r="S177" s="19"/>
      <c r="T177" s="19"/>
      <c r="U177" s="19"/>
      <c r="V177" s="19"/>
    </row>
    <row r="178" spans="6:22" x14ac:dyDescent="0.3">
      <c r="G178" s="19"/>
      <c r="H178" s="19"/>
      <c r="I178" s="19"/>
      <c r="J178" s="19"/>
      <c r="K178" s="19"/>
      <c r="L178" s="19"/>
      <c r="M178" s="19"/>
      <c r="N178" s="19"/>
      <c r="O178" s="19"/>
      <c r="P178" s="19"/>
      <c r="Q178" s="19"/>
      <c r="R178" s="19"/>
      <c r="S178" s="19"/>
      <c r="T178" s="19"/>
      <c r="U178" s="19"/>
      <c r="V178" s="19"/>
    </row>
    <row r="179" spans="6:22" x14ac:dyDescent="0.3">
      <c r="G179" s="19"/>
      <c r="H179" s="19"/>
      <c r="I179" s="19"/>
      <c r="J179" s="19"/>
      <c r="K179" s="19"/>
      <c r="L179" s="19"/>
      <c r="M179" s="19"/>
      <c r="N179" s="19"/>
      <c r="O179" s="19"/>
      <c r="P179" s="19"/>
      <c r="Q179" s="19"/>
      <c r="R179" s="19"/>
      <c r="S179" s="19"/>
      <c r="T179" s="19"/>
      <c r="U179" s="19"/>
      <c r="V179" s="19"/>
    </row>
    <row r="180" spans="6:22" x14ac:dyDescent="0.3">
      <c r="G180" s="19"/>
      <c r="H180" s="19"/>
      <c r="I180" s="19"/>
      <c r="J180" s="19"/>
      <c r="K180" s="19"/>
      <c r="L180" s="19"/>
      <c r="M180" s="19"/>
      <c r="N180" s="19"/>
      <c r="O180" s="19"/>
      <c r="P180" s="19"/>
      <c r="Q180" s="19"/>
      <c r="R180" s="19"/>
      <c r="S180" s="19"/>
      <c r="T180" s="19"/>
      <c r="U180" s="19"/>
      <c r="V180" s="19"/>
    </row>
    <row r="181" spans="6:22" x14ac:dyDescent="0.3">
      <c r="G181" s="19"/>
      <c r="H181" s="19"/>
      <c r="I181" s="19"/>
      <c r="J181" s="19"/>
      <c r="K181" s="19"/>
      <c r="L181" s="19"/>
      <c r="M181" s="19"/>
      <c r="N181" s="19"/>
      <c r="O181" s="19"/>
      <c r="P181" s="19"/>
      <c r="Q181" s="19"/>
      <c r="R181" s="19"/>
      <c r="S181" s="19"/>
      <c r="T181" s="19"/>
      <c r="U181" s="19"/>
      <c r="V181" s="19"/>
    </row>
    <row r="182" spans="6:22" x14ac:dyDescent="0.3">
      <c r="G182" s="19"/>
      <c r="H182" s="19"/>
      <c r="I182" s="19"/>
      <c r="J182" s="19"/>
      <c r="K182" s="19"/>
      <c r="L182" s="19"/>
      <c r="M182" s="19"/>
      <c r="N182" s="19"/>
      <c r="O182" s="19"/>
      <c r="P182" s="19"/>
      <c r="Q182" s="19"/>
      <c r="R182" s="19"/>
      <c r="S182" s="19"/>
      <c r="T182" s="19"/>
      <c r="U182" s="19"/>
      <c r="V182" s="19"/>
    </row>
    <row r="183" spans="6:22" x14ac:dyDescent="0.3">
      <c r="G183" s="19"/>
      <c r="H183" s="19"/>
      <c r="I183" s="19"/>
      <c r="J183" s="19"/>
      <c r="K183" s="19"/>
      <c r="L183" s="19"/>
      <c r="M183" s="19"/>
      <c r="N183" s="19"/>
      <c r="O183" s="19"/>
      <c r="P183" s="19"/>
      <c r="Q183" s="19"/>
      <c r="R183" s="19"/>
      <c r="S183" s="19"/>
      <c r="T183" s="19"/>
      <c r="U183" s="19"/>
      <c r="V183" s="19"/>
    </row>
    <row r="184" spans="6:22" x14ac:dyDescent="0.3">
      <c r="G184" s="19"/>
      <c r="H184" s="19"/>
      <c r="I184" s="19"/>
      <c r="J184" s="19"/>
      <c r="K184" s="19"/>
      <c r="L184" s="19"/>
      <c r="M184" s="19"/>
      <c r="N184" s="19"/>
      <c r="O184" s="19"/>
      <c r="P184" s="19"/>
      <c r="Q184" s="19"/>
      <c r="R184" s="19"/>
      <c r="S184" s="19"/>
      <c r="T184" s="19"/>
      <c r="U184" s="19"/>
      <c r="V184" s="19"/>
    </row>
    <row r="185" spans="6:22" x14ac:dyDescent="0.3">
      <c r="G185" s="19"/>
      <c r="H185" s="19"/>
      <c r="I185" s="19"/>
      <c r="J185" s="19"/>
      <c r="K185" s="19"/>
      <c r="L185" s="19"/>
      <c r="M185" s="19"/>
      <c r="N185" s="19"/>
      <c r="O185" s="19"/>
      <c r="P185" s="19"/>
      <c r="Q185" s="19"/>
      <c r="R185" s="19"/>
      <c r="S185" s="19"/>
      <c r="T185" s="19"/>
      <c r="U185" s="19"/>
      <c r="V185" s="19"/>
    </row>
    <row r="187" spans="6:22" x14ac:dyDescent="0.3">
      <c r="F187" s="29" t="s">
        <v>51</v>
      </c>
      <c r="G187" s="29"/>
      <c r="H187" s="29"/>
      <c r="I187" s="29"/>
      <c r="J187" s="29"/>
      <c r="K187" s="29"/>
    </row>
    <row r="189" spans="6:22" x14ac:dyDescent="0.3">
      <c r="F189" t="s">
        <v>52</v>
      </c>
      <c r="G189" s="7" t="s">
        <v>22</v>
      </c>
      <c r="H189" t="s">
        <v>53</v>
      </c>
    </row>
    <row r="190" spans="6:22" x14ac:dyDescent="0.3">
      <c r="G190" s="8" t="s">
        <v>35</v>
      </c>
      <c r="H190">
        <v>320.25</v>
      </c>
    </row>
    <row r="191" spans="6:22" x14ac:dyDescent="0.3">
      <c r="G191" s="8" t="s">
        <v>36</v>
      </c>
      <c r="H191">
        <v>344</v>
      </c>
    </row>
    <row r="192" spans="6:22" x14ac:dyDescent="0.3">
      <c r="G192" s="8" t="s">
        <v>37</v>
      </c>
      <c r="H192">
        <v>319.33333333333331</v>
      </c>
    </row>
    <row r="193" spans="1:14" x14ac:dyDescent="0.3">
      <c r="G193" s="8" t="s">
        <v>38</v>
      </c>
      <c r="H193">
        <v>385</v>
      </c>
    </row>
    <row r="194" spans="1:14" x14ac:dyDescent="0.3">
      <c r="G194" s="8" t="s">
        <v>39</v>
      </c>
      <c r="H194">
        <v>428.66666666666669</v>
      </c>
    </row>
    <row r="195" spans="1:14" x14ac:dyDescent="0.3">
      <c r="G195" s="8" t="s">
        <v>40</v>
      </c>
      <c r="H195">
        <v>279.25</v>
      </c>
    </row>
    <row r="196" spans="1:14" x14ac:dyDescent="0.3">
      <c r="G196" s="8" t="s">
        <v>23</v>
      </c>
      <c r="H196">
        <v>341.45</v>
      </c>
    </row>
    <row r="198" spans="1:14" x14ac:dyDescent="0.3">
      <c r="A198" s="1" t="s">
        <v>0</v>
      </c>
      <c r="B198" s="1" t="s">
        <v>1</v>
      </c>
      <c r="C198" s="1" t="s">
        <v>2</v>
      </c>
      <c r="D198" s="1" t="s">
        <v>3</v>
      </c>
      <c r="E198" s="1" t="s">
        <v>4</v>
      </c>
      <c r="F198" s="27" t="s">
        <v>54</v>
      </c>
      <c r="G198" s="28"/>
      <c r="H198" s="28"/>
      <c r="I198" s="28"/>
      <c r="J198" s="28"/>
      <c r="K198" s="28"/>
      <c r="L198" s="28"/>
      <c r="M198" s="28"/>
      <c r="N198" s="28"/>
    </row>
    <row r="199" spans="1:14" x14ac:dyDescent="0.3">
      <c r="A199" s="2">
        <v>45292</v>
      </c>
      <c r="B199" s="3" t="s">
        <v>5</v>
      </c>
      <c r="C199" s="3" t="s">
        <v>6</v>
      </c>
      <c r="D199" s="4">
        <v>456</v>
      </c>
      <c r="E199" s="4">
        <v>93</v>
      </c>
      <c r="F199" t="s">
        <v>21</v>
      </c>
      <c r="G199" s="22" t="s">
        <v>2</v>
      </c>
      <c r="H199" s="22" t="s">
        <v>3</v>
      </c>
      <c r="I199" s="23" t="s">
        <v>55</v>
      </c>
    </row>
    <row r="200" spans="1:14" x14ac:dyDescent="0.3">
      <c r="A200" s="2">
        <v>45301.526319444441</v>
      </c>
      <c r="B200" s="3" t="s">
        <v>7</v>
      </c>
      <c r="C200" s="3" t="s">
        <v>8</v>
      </c>
      <c r="D200" s="4">
        <v>348</v>
      </c>
      <c r="E200" s="4">
        <v>56</v>
      </c>
      <c r="G200" s="24" t="s">
        <v>6</v>
      </c>
      <c r="H200" s="25">
        <v>456</v>
      </c>
      <c r="I200" s="26" t="str">
        <f>IF(OR(G200="Apples", G200="Oranges"), "Apples+Oranges", "Other")</f>
        <v>Other</v>
      </c>
    </row>
    <row r="201" spans="1:14" x14ac:dyDescent="0.3">
      <c r="A201" s="2">
        <v>45311.052627314813</v>
      </c>
      <c r="B201" s="3" t="s">
        <v>7</v>
      </c>
      <c r="C201" s="3" t="s">
        <v>6</v>
      </c>
      <c r="D201" s="4">
        <v>247</v>
      </c>
      <c r="E201" s="4">
        <v>76</v>
      </c>
      <c r="G201" s="24" t="s">
        <v>8</v>
      </c>
      <c r="H201" s="25">
        <v>348</v>
      </c>
      <c r="I201" s="26" t="str">
        <f t="shared" ref="I201:I219" si="0">IF(OR(G201="Apples", G201="Oranges"), "Apples+Oranges", "Other")</f>
        <v>Apples+Oranges</v>
      </c>
      <c r="K201" s="7" t="s">
        <v>22</v>
      </c>
      <c r="L201" t="s">
        <v>24</v>
      </c>
    </row>
    <row r="202" spans="1:14" x14ac:dyDescent="0.3">
      <c r="A202" s="2">
        <v>45320.578946759262</v>
      </c>
      <c r="B202" s="3" t="s">
        <v>5</v>
      </c>
      <c r="C202" s="3" t="s">
        <v>9</v>
      </c>
      <c r="D202" s="4">
        <v>230</v>
      </c>
      <c r="E202" s="4">
        <v>37</v>
      </c>
      <c r="G202" s="24" t="s">
        <v>6</v>
      </c>
      <c r="H202" s="25">
        <v>247</v>
      </c>
      <c r="I202" s="26" t="str">
        <f t="shared" si="0"/>
        <v>Other</v>
      </c>
      <c r="K202" s="8" t="s">
        <v>56</v>
      </c>
      <c r="L202">
        <v>4308</v>
      </c>
    </row>
    <row r="203" spans="1:14" x14ac:dyDescent="0.3">
      <c r="A203" s="2">
        <v>45330.105266203704</v>
      </c>
      <c r="B203" s="3" t="s">
        <v>5</v>
      </c>
      <c r="C203" s="3" t="s">
        <v>6</v>
      </c>
      <c r="D203" s="4">
        <v>281</v>
      </c>
      <c r="E203" s="4">
        <v>50</v>
      </c>
      <c r="G203" s="24" t="s">
        <v>9</v>
      </c>
      <c r="H203" s="25">
        <v>230</v>
      </c>
      <c r="I203" s="26" t="str">
        <f t="shared" si="0"/>
        <v>Apples+Oranges</v>
      </c>
      <c r="K203" s="8" t="s">
        <v>57</v>
      </c>
      <c r="L203">
        <v>2521</v>
      </c>
    </row>
    <row r="204" spans="1:14" x14ac:dyDescent="0.3">
      <c r="A204" s="2">
        <v>45339.631574074076</v>
      </c>
      <c r="B204" s="3" t="s">
        <v>5</v>
      </c>
      <c r="C204" s="3" t="s">
        <v>8</v>
      </c>
      <c r="D204" s="4">
        <v>334</v>
      </c>
      <c r="E204" s="4">
        <v>52</v>
      </c>
      <c r="G204" s="24" t="s">
        <v>6</v>
      </c>
      <c r="H204" s="25">
        <v>281</v>
      </c>
      <c r="I204" s="26" t="str">
        <f t="shared" si="0"/>
        <v>Other</v>
      </c>
      <c r="K204" s="8" t="s">
        <v>23</v>
      </c>
      <c r="L204">
        <v>6829</v>
      </c>
    </row>
    <row r="205" spans="1:14" x14ac:dyDescent="0.3">
      <c r="A205" s="2">
        <v>45349.157893518517</v>
      </c>
      <c r="B205" s="3" t="s">
        <v>7</v>
      </c>
      <c r="C205" s="3" t="s">
        <v>9</v>
      </c>
      <c r="D205" s="4">
        <v>417</v>
      </c>
      <c r="E205" s="4">
        <v>29</v>
      </c>
      <c r="G205" s="24" t="s">
        <v>8</v>
      </c>
      <c r="H205" s="25">
        <v>334</v>
      </c>
      <c r="I205" s="26" t="str">
        <f t="shared" si="0"/>
        <v>Apples+Oranges</v>
      </c>
    </row>
    <row r="206" spans="1:14" x14ac:dyDescent="0.3">
      <c r="A206" s="2">
        <v>45358.684212962966</v>
      </c>
      <c r="B206" s="3" t="s">
        <v>5</v>
      </c>
      <c r="C206" s="3" t="s">
        <v>9</v>
      </c>
      <c r="D206" s="4">
        <v>441</v>
      </c>
      <c r="E206" s="4">
        <v>44</v>
      </c>
      <c r="G206" s="24" t="s">
        <v>9</v>
      </c>
      <c r="H206" s="25">
        <v>417</v>
      </c>
      <c r="I206" s="26" t="str">
        <f t="shared" si="0"/>
        <v>Apples+Oranges</v>
      </c>
    </row>
    <row r="207" spans="1:14" x14ac:dyDescent="0.3">
      <c r="A207" s="2">
        <v>45368.210520833331</v>
      </c>
      <c r="B207" s="3" t="s">
        <v>7</v>
      </c>
      <c r="C207" s="3" t="s">
        <v>6</v>
      </c>
      <c r="D207" s="4">
        <v>76</v>
      </c>
      <c r="E207" s="4">
        <v>63</v>
      </c>
      <c r="G207" s="24" t="s">
        <v>9</v>
      </c>
      <c r="H207" s="25">
        <v>441</v>
      </c>
      <c r="I207" s="26" t="str">
        <f t="shared" si="0"/>
        <v>Apples+Oranges</v>
      </c>
    </row>
    <row r="208" spans="1:14" x14ac:dyDescent="0.3">
      <c r="A208" s="2">
        <v>45377.736840277779</v>
      </c>
      <c r="B208" s="3" t="s">
        <v>5</v>
      </c>
      <c r="C208" s="3" t="s">
        <v>8</v>
      </c>
      <c r="D208" s="4">
        <v>441</v>
      </c>
      <c r="E208" s="4">
        <v>79</v>
      </c>
      <c r="G208" s="24" t="s">
        <v>6</v>
      </c>
      <c r="H208" s="25">
        <v>76</v>
      </c>
      <c r="I208" s="26" t="str">
        <f t="shared" si="0"/>
        <v>Other</v>
      </c>
    </row>
    <row r="209" spans="1:9" x14ac:dyDescent="0.3">
      <c r="A209" s="2">
        <v>45387.263159722221</v>
      </c>
      <c r="B209" s="3" t="s">
        <v>7</v>
      </c>
      <c r="C209" s="3" t="s">
        <v>6</v>
      </c>
      <c r="D209" s="4">
        <v>205</v>
      </c>
      <c r="E209" s="4">
        <v>23</v>
      </c>
      <c r="G209" s="24" t="s">
        <v>8</v>
      </c>
      <c r="H209" s="25">
        <v>441</v>
      </c>
      <c r="I209" s="26" t="str">
        <f t="shared" si="0"/>
        <v>Apples+Oranges</v>
      </c>
    </row>
    <row r="210" spans="1:9" x14ac:dyDescent="0.3">
      <c r="A210" s="2">
        <v>45396.789479166669</v>
      </c>
      <c r="B210" s="3" t="s">
        <v>5</v>
      </c>
      <c r="C210" s="3" t="s">
        <v>8</v>
      </c>
      <c r="D210" s="4">
        <v>483</v>
      </c>
      <c r="E210" s="4">
        <v>97</v>
      </c>
      <c r="G210" s="24" t="s">
        <v>6</v>
      </c>
      <c r="H210" s="25">
        <v>205</v>
      </c>
      <c r="I210" s="26" t="str">
        <f t="shared" si="0"/>
        <v>Other</v>
      </c>
    </row>
    <row r="211" spans="1:9" x14ac:dyDescent="0.3">
      <c r="A211" s="2">
        <v>45406.315787037034</v>
      </c>
      <c r="B211" s="3" t="s">
        <v>10</v>
      </c>
      <c r="C211" s="3" t="s">
        <v>6</v>
      </c>
      <c r="D211" s="4">
        <v>467</v>
      </c>
      <c r="E211" s="4">
        <v>97</v>
      </c>
      <c r="G211" s="24" t="s">
        <v>8</v>
      </c>
      <c r="H211" s="25">
        <v>483</v>
      </c>
      <c r="I211" s="26" t="str">
        <f t="shared" si="0"/>
        <v>Apples+Oranges</v>
      </c>
    </row>
    <row r="212" spans="1:9" x14ac:dyDescent="0.3">
      <c r="A212" s="2">
        <v>45415.842106481483</v>
      </c>
      <c r="B212" s="3" t="s">
        <v>5</v>
      </c>
      <c r="C212" s="3" t="s">
        <v>6</v>
      </c>
      <c r="D212" s="4">
        <v>380</v>
      </c>
      <c r="E212" s="4">
        <v>92</v>
      </c>
      <c r="G212" s="24" t="s">
        <v>6</v>
      </c>
      <c r="H212" s="25">
        <v>467</v>
      </c>
      <c r="I212" s="26" t="str">
        <f t="shared" si="0"/>
        <v>Other</v>
      </c>
    </row>
    <row r="213" spans="1:9" x14ac:dyDescent="0.3">
      <c r="A213" s="2">
        <v>45425.368425925924</v>
      </c>
      <c r="B213" s="3" t="s">
        <v>7</v>
      </c>
      <c r="C213" s="3" t="s">
        <v>8</v>
      </c>
      <c r="D213" s="4">
        <v>497</v>
      </c>
      <c r="E213" s="4">
        <v>71</v>
      </c>
      <c r="G213" s="24" t="s">
        <v>6</v>
      </c>
      <c r="H213" s="25">
        <v>380</v>
      </c>
      <c r="I213" s="26" t="str">
        <f t="shared" si="0"/>
        <v>Other</v>
      </c>
    </row>
    <row r="214" spans="1:9" x14ac:dyDescent="0.3">
      <c r="A214" s="2">
        <v>45434.894733796296</v>
      </c>
      <c r="B214" s="3" t="s">
        <v>7</v>
      </c>
      <c r="C214" s="3" t="s">
        <v>6</v>
      </c>
      <c r="D214" s="4">
        <v>409</v>
      </c>
      <c r="E214" s="4">
        <v>81</v>
      </c>
      <c r="G214" s="24" t="s">
        <v>8</v>
      </c>
      <c r="H214" s="25">
        <v>497</v>
      </c>
      <c r="I214" s="26" t="str">
        <f t="shared" si="0"/>
        <v>Apples+Oranges</v>
      </c>
    </row>
    <row r="215" spans="1:9" x14ac:dyDescent="0.3">
      <c r="A215" s="2">
        <v>45444.421053240738</v>
      </c>
      <c r="B215" s="3" t="s">
        <v>5</v>
      </c>
      <c r="C215" s="3" t="s">
        <v>8</v>
      </c>
      <c r="D215" s="4">
        <v>53</v>
      </c>
      <c r="E215" s="4">
        <v>45</v>
      </c>
      <c r="G215" s="24" t="s">
        <v>6</v>
      </c>
      <c r="H215" s="25">
        <v>409</v>
      </c>
      <c r="I215" s="26" t="str">
        <f t="shared" si="0"/>
        <v>Other</v>
      </c>
    </row>
    <row r="216" spans="1:9" x14ac:dyDescent="0.3">
      <c r="A216" s="2">
        <v>45453.947372685187</v>
      </c>
      <c r="B216" s="3" t="s">
        <v>5</v>
      </c>
      <c r="C216" s="3" t="s">
        <v>9</v>
      </c>
      <c r="D216" s="4">
        <v>398</v>
      </c>
      <c r="E216" s="4">
        <v>33</v>
      </c>
      <c r="G216" s="24" t="s">
        <v>8</v>
      </c>
      <c r="H216" s="25">
        <v>53</v>
      </c>
      <c r="I216" s="26" t="str">
        <f t="shared" si="0"/>
        <v>Apples+Oranges</v>
      </c>
    </row>
    <row r="217" spans="1:9" x14ac:dyDescent="0.3">
      <c r="A217" s="2">
        <v>45463.473680555559</v>
      </c>
      <c r="B217" s="3" t="s">
        <v>11</v>
      </c>
      <c r="C217" s="3" t="s">
        <v>8</v>
      </c>
      <c r="D217" s="4">
        <v>347</v>
      </c>
      <c r="E217" s="4">
        <v>35</v>
      </c>
      <c r="G217" s="24" t="s">
        <v>9</v>
      </c>
      <c r="H217" s="25">
        <v>398</v>
      </c>
      <c r="I217" s="26" t="str">
        <f t="shared" si="0"/>
        <v>Apples+Oranges</v>
      </c>
    </row>
    <row r="218" spans="1:9" x14ac:dyDescent="0.3">
      <c r="A218" s="2">
        <v>45473</v>
      </c>
      <c r="B218" s="3" t="s">
        <v>7</v>
      </c>
      <c r="C218" s="3" t="s">
        <v>9</v>
      </c>
      <c r="D218" s="4">
        <v>319</v>
      </c>
      <c r="E218" s="4">
        <v>45</v>
      </c>
      <c r="G218" s="24" t="s">
        <v>8</v>
      </c>
      <c r="H218" s="25">
        <v>347</v>
      </c>
      <c r="I218" s="26" t="str">
        <f t="shared" si="0"/>
        <v>Apples+Oranges</v>
      </c>
    </row>
    <row r="219" spans="1:9" x14ac:dyDescent="0.3">
      <c r="G219" s="24" t="s">
        <v>9</v>
      </c>
      <c r="H219" s="25">
        <v>319</v>
      </c>
      <c r="I219" s="26" t="str">
        <f t="shared" si="0"/>
        <v>Apples+Oranges</v>
      </c>
    </row>
  </sheetData>
  <autoFilter ref="G73:K93" xr:uid="{F71AADFC-C813-4C2C-9101-1AB7F0D32B98}">
    <filterColumn colId="3">
      <customFilters>
        <customFilter operator="greaterThan" val="300"/>
      </customFilters>
    </filterColumn>
  </autoFilter>
  <mergeCells count="25">
    <mergeCell ref="G2:K2"/>
    <mergeCell ref="G142:J142"/>
    <mergeCell ref="G143:I143"/>
    <mergeCell ref="G144:I144"/>
    <mergeCell ref="G145:I145"/>
    <mergeCell ref="H8:P8"/>
    <mergeCell ref="H9:P9"/>
    <mergeCell ref="H6:P6"/>
    <mergeCell ref="H5:P5"/>
    <mergeCell ref="H4:P4"/>
    <mergeCell ref="H7:P7"/>
    <mergeCell ref="G11:L11"/>
    <mergeCell ref="G42:H42"/>
    <mergeCell ref="G44:M44"/>
    <mergeCell ref="G45:N45"/>
    <mergeCell ref="F198:N198"/>
    <mergeCell ref="G96:I96"/>
    <mergeCell ref="G112:J112"/>
    <mergeCell ref="G46:N46"/>
    <mergeCell ref="G138:K138"/>
    <mergeCell ref="G47:M47"/>
    <mergeCell ref="G71:I71"/>
    <mergeCell ref="F136:G136"/>
    <mergeCell ref="D114:F118"/>
    <mergeCell ref="F187:K187"/>
  </mergeCells>
  <conditionalFormatting sqref="K21:K40">
    <cfRule type="cellIs" dxfId="0" priority="1" operator="greaterThan">
      <formula>400</formula>
    </cfRule>
  </conditionalFormatting>
  <pageMargins left="0.7" right="0.7" top="0.75" bottom="0.75" header="0.3" footer="0.3"/>
  <pageSetup orientation="portrait" r:id="rId7"/>
  <drawing r:id="rId8"/>
  <tableParts count="3">
    <tablePart r:id="rId9"/>
    <tablePart r:id="rId10"/>
    <tablePart r:id="rId11"/>
  </tableParts>
  <extLst>
    <ext xmlns:x14="http://schemas.microsoft.com/office/spreadsheetml/2009/9/main" uri="{A8765BA9-456A-4dab-B4F3-ACF838C121DE}">
      <x14:slicerList>
        <x14:slicer r:id="rId12"/>
      </x14:slicerList>
    </ext>
    <ext xmlns:x15="http://schemas.microsoft.com/office/spreadsheetml/2010/11/main" uri="{3A4CF648-6AED-40f4-86FF-DC5316D8AED3}">
      <x14:slicerList xmlns:x14="http://schemas.microsoft.com/office/spreadsheetml/2009/9/main">
        <x14:slicer r:id="rId1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Shivangi kumari</dc:creator>
  <cp:lastModifiedBy>Shivangi kumari</cp:lastModifiedBy>
  <dcterms:created xsi:type="dcterms:W3CDTF">2025-11-02T03:37:14Z</dcterms:created>
  <dcterms:modified xsi:type="dcterms:W3CDTF">2025-11-02T09:06:31Z</dcterms:modified>
</cp:coreProperties>
</file>